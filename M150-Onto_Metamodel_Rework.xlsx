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luis\Repositories\M150-Onto\m150-onto\"/>
    </mc:Choice>
  </mc:AlternateContent>
  <xr:revisionPtr revIDLastSave="0" documentId="13_ncr:1_{E04D1B3A-3D3A-4806-BA98-11395F45F976}" xr6:coauthVersionLast="47" xr6:coauthVersionMax="47" xr10:uidLastSave="{00000000-0000-0000-0000-000000000000}"/>
  <bookViews>
    <workbookView xWindow="-108" yWindow="-108" windowWidth="30936" windowHeight="16776" firstSheet="1" activeTab="1" xr2:uid="{FEE85CB8-E22B-44F8-B2C8-C132767C24A8}"/>
  </bookViews>
  <sheets>
    <sheet name="Template Scoring Matrix" sheetId="8" r:id="rId1"/>
    <sheet name="M150-Onto" sheetId="11" r:id="rId2"/>
    <sheet name="DWA-M 150 Reference Tables" sheetId="13" r:id="rId3"/>
    <sheet name="Type Z Raw Data" sheetId="5" r:id="rId4"/>
  </sheets>
  <definedNames>
    <definedName name="TypZ" localSheetId="3">'Type Z Raw Data'!$A$1:$Y$349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8" l="1"/>
  <c r="D6" i="8"/>
  <c r="D10" i="8"/>
  <c r="D11" i="8"/>
  <c r="D5" i="8"/>
  <c r="D8" i="8" s="1"/>
  <c r="D9" i="8" l="1"/>
  <c r="D1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J</author>
  </authors>
  <commentList>
    <comment ref="G4" authorId="0" shapeId="0" xr:uid="{303D239B-22B6-4599-B96F-F7D39C949861}">
      <text>
        <r>
          <rPr>
            <b/>
            <sz val="9"/>
            <color indexed="81"/>
            <rFont val="Tahoma"/>
            <charset val="1"/>
          </rPr>
          <t>Luis J:</t>
        </r>
        <r>
          <rPr>
            <sz val="9"/>
            <color indexed="81"/>
            <rFont val="Tahoma"/>
            <charset val="1"/>
          </rPr>
          <t xml:space="preserve">
(=Internationalized Resource Identifier)</t>
        </r>
      </text>
    </comment>
    <comment ref="G6" authorId="0" shapeId="0" xr:uid="{4A527450-15B9-4F9E-ADE1-F060A1282260}">
      <text>
        <r>
          <rPr>
            <b/>
            <sz val="9"/>
            <color indexed="81"/>
            <rFont val="Tahoma"/>
            <charset val="1"/>
          </rPr>
          <t>Luis J:</t>
        </r>
        <r>
          <rPr>
            <sz val="9"/>
            <color indexed="81"/>
            <rFont val="Tahoma"/>
            <charset val="1"/>
          </rPr>
          <t xml:space="preserve">
(=Internationalized Resource Identifier)</t>
        </r>
      </text>
    </comment>
    <comment ref="G56" authorId="0" shapeId="0" xr:uid="{70D73993-B370-4E70-8B9B-2D1FF980C168}">
      <text>
        <r>
          <rPr>
            <b/>
            <sz val="9"/>
            <color indexed="81"/>
            <rFont val="Tahoma"/>
            <charset val="1"/>
          </rPr>
          <t>Luis J:</t>
        </r>
        <r>
          <rPr>
            <sz val="9"/>
            <color indexed="81"/>
            <rFont val="Tahoma"/>
            <charset val="1"/>
          </rPr>
          <t xml:space="preserve">
(=Internationalized Resource Identifier)</t>
        </r>
      </text>
    </comment>
    <comment ref="G84" authorId="0" shapeId="0" xr:uid="{F215EE34-326E-4490-9375-770BB214772D}">
      <text>
        <r>
          <rPr>
            <b/>
            <sz val="9"/>
            <color indexed="81"/>
            <rFont val="Tahoma"/>
            <charset val="1"/>
          </rPr>
          <t>Luis J:</t>
        </r>
        <r>
          <rPr>
            <sz val="9"/>
            <color indexed="81"/>
            <rFont val="Tahoma"/>
            <charset val="1"/>
          </rPr>
          <t xml:space="preserve">
(=Internationalized Resource Identifier)</t>
        </r>
      </text>
    </comment>
    <comment ref="G111" authorId="0" shapeId="0" xr:uid="{3013A2A2-FD51-4651-945C-B6B990DC7ECD}">
      <text>
        <r>
          <rPr>
            <b/>
            <sz val="9"/>
            <color indexed="81"/>
            <rFont val="Tahoma"/>
            <charset val="1"/>
          </rPr>
          <t>Luis J:</t>
        </r>
        <r>
          <rPr>
            <sz val="9"/>
            <color indexed="81"/>
            <rFont val="Tahoma"/>
            <charset val="1"/>
          </rPr>
          <t xml:space="preserve">
(=Internationalized Resource Identifier)</t>
        </r>
      </text>
    </comment>
    <comment ref="G138" authorId="0" shapeId="0" xr:uid="{59F85F53-55A4-4A88-AC2B-5FE9A0BFBB11}">
      <text>
        <r>
          <rPr>
            <b/>
            <sz val="9"/>
            <color indexed="81"/>
            <rFont val="Tahoma"/>
            <charset val="1"/>
          </rPr>
          <t>Luis J:</t>
        </r>
        <r>
          <rPr>
            <sz val="9"/>
            <color indexed="81"/>
            <rFont val="Tahoma"/>
            <charset val="1"/>
          </rPr>
          <t xml:space="preserve">
(=Internationalized Resource Identifier)</t>
        </r>
      </text>
    </comment>
    <comment ref="G147" authorId="0" shapeId="0" xr:uid="{97BBED62-02A6-48FB-91A1-FA8D160C3096}">
      <text>
        <r>
          <rPr>
            <b/>
            <sz val="9"/>
            <color indexed="81"/>
            <rFont val="Tahoma"/>
            <charset val="1"/>
          </rPr>
          <t>Luis J:</t>
        </r>
        <r>
          <rPr>
            <sz val="9"/>
            <color indexed="81"/>
            <rFont val="Tahoma"/>
            <charset val="1"/>
          </rPr>
          <t xml:space="preserve">
(=Internationalized Resource Identifier)</t>
        </r>
      </text>
    </comment>
    <comment ref="G165" authorId="0" shapeId="0" xr:uid="{06B78D62-7756-400E-AB2F-CEA20445C1C2}">
      <text>
        <r>
          <rPr>
            <b/>
            <sz val="9"/>
            <color indexed="81"/>
            <rFont val="Tahoma"/>
            <charset val="1"/>
          </rPr>
          <t>Luis J:</t>
        </r>
        <r>
          <rPr>
            <sz val="9"/>
            <color indexed="81"/>
            <rFont val="Tahoma"/>
            <charset val="1"/>
          </rPr>
          <t xml:space="preserve">
(=Internationalized Resource Identifier)</t>
        </r>
      </text>
    </comment>
    <comment ref="G283" authorId="0" shapeId="0" xr:uid="{5A564208-555B-4812-9416-7AE89902140D}">
      <text>
        <r>
          <rPr>
            <b/>
            <sz val="9"/>
            <color indexed="81"/>
            <rFont val="Tahoma"/>
            <charset val="1"/>
          </rPr>
          <t>Luis J:</t>
        </r>
        <r>
          <rPr>
            <sz val="9"/>
            <color indexed="81"/>
            <rFont val="Tahoma"/>
            <charset val="1"/>
          </rPr>
          <t xml:space="preserve">
(=Internationalized Resource Identifier)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7EF7EA-F744-4295-BD98-3C969C302DE5}" name="TypZ" type="6" refreshedVersion="8" background="1" saveData="1">
    <textPr sourceFile="C:\Users\jluis\Desktop\tabula\DWA M-150\TypZ.csv" decimal="," thousands="." tab="0" comma="1">
      <textFields count="6">
        <textField/>
        <textField/>
        <textField/>
        <textField/>
        <textField/>
        <textField/>
      </textFields>
    </textPr>
  </connection>
</connections>
</file>

<file path=xl/sharedStrings.xml><?xml version="1.0" encoding="utf-8"?>
<sst xmlns="http://schemas.openxmlformats.org/spreadsheetml/2006/main" count="3951" uniqueCount="2162">
  <si>
    <t>Kennung</t>
  </si>
  <si>
    <t>Feldbezeichnung</t>
  </si>
  <si>
    <t>FD001</t>
  </si>
  <si>
    <t>FD002</t>
  </si>
  <si>
    <t>Formattypbezeichnung</t>
  </si>
  <si>
    <t>Geometrieobjektbezeichnung</t>
  </si>
  <si>
    <t>Geometrieobjektkennung</t>
  </si>
  <si>
    <t>Geometrieobjekttyp</t>
  </si>
  <si>
    <t>Dokument</t>
  </si>
  <si>
    <t>Bemerkung</t>
  </si>
  <si>
    <t>GO001</t>
  </si>
  <si>
    <t>GO002</t>
  </si>
  <si>
    <t>Referenztabelle</t>
  </si>
  <si>
    <t>GO003</t>
  </si>
  <si>
    <t>Punkt</t>
  </si>
  <si>
    <t>GO997</t>
  </si>
  <si>
    <t>Flächenmuster</t>
  </si>
  <si>
    <t>Auftraggeber</t>
  </si>
  <si>
    <t>GO998</t>
  </si>
  <si>
    <t>GO999</t>
  </si>
  <si>
    <t>nächsten Punkt</t>
  </si>
  <si>
    <t>GP001</t>
  </si>
  <si>
    <t>Punktbezeichnung</t>
  </si>
  <si>
    <t>GP002</t>
  </si>
  <si>
    <t>GP003</t>
  </si>
  <si>
    <t>Rechtswert</t>
  </si>
  <si>
    <t>GP004</t>
  </si>
  <si>
    <t>Hochwert</t>
  </si>
  <si>
    <t>GP005</t>
  </si>
  <si>
    <t>Ostkoordinate</t>
  </si>
  <si>
    <t>GP006</t>
  </si>
  <si>
    <t>Nordkoordinate</t>
  </si>
  <si>
    <t>GP007</t>
  </si>
  <si>
    <t>Höhe</t>
  </si>
  <si>
    <t>GP008</t>
  </si>
  <si>
    <t>Lagegenauigkeit</t>
  </si>
  <si>
    <t>GP009</t>
  </si>
  <si>
    <t>Höhengenauigkeit</t>
  </si>
  <si>
    <t>GP010</t>
  </si>
  <si>
    <t>GP101</t>
  </si>
  <si>
    <t>Punkttyp</t>
  </si>
  <si>
    <t>M</t>
  </si>
  <si>
    <t>GP102</t>
  </si>
  <si>
    <t>GP999</t>
  </si>
  <si>
    <t>HG001</t>
  </si>
  <si>
    <t>Haltungsbezeichnung</t>
  </si>
  <si>
    <t>HG002</t>
  </si>
  <si>
    <t>HG003</t>
  </si>
  <si>
    <t>Knotenbezeichnung</t>
  </si>
  <si>
    <t>HG004</t>
  </si>
  <si>
    <t>HG005</t>
  </si>
  <si>
    <t>HG006</t>
  </si>
  <si>
    <t>HG007</t>
  </si>
  <si>
    <t>Station</t>
  </si>
  <si>
    <t>HG008</t>
  </si>
  <si>
    <t>HG009</t>
  </si>
  <si>
    <t>HG010</t>
  </si>
  <si>
    <t>Knotenart</t>
  </si>
  <si>
    <t>HG011</t>
  </si>
  <si>
    <t>Leitungsbezeichnung</t>
  </si>
  <si>
    <t>HG012</t>
  </si>
  <si>
    <t>HG101</t>
  </si>
  <si>
    <t>Straßenschlüssel</t>
  </si>
  <si>
    <t>HG102</t>
  </si>
  <si>
    <t>Straßenname</t>
  </si>
  <si>
    <t>HG103</t>
  </si>
  <si>
    <t>Ortsteilschlüssel</t>
  </si>
  <si>
    <t>HG104</t>
  </si>
  <si>
    <t>Ortsteilname</t>
  </si>
  <si>
    <t>HG105</t>
  </si>
  <si>
    <t>Gemeindeschlüssel</t>
  </si>
  <si>
    <t>HG106</t>
  </si>
  <si>
    <t>Gebietsschlüssel</t>
  </si>
  <si>
    <t>HG107</t>
  </si>
  <si>
    <t>Einzugsgebietschlüssel</t>
  </si>
  <si>
    <t>HG108</t>
  </si>
  <si>
    <t>HG301</t>
  </si>
  <si>
    <t>Kanalart</t>
  </si>
  <si>
    <t>HG302</t>
  </si>
  <si>
    <t>Kanalnutzung</t>
  </si>
  <si>
    <t>HG303</t>
  </si>
  <si>
    <t>Baujahr</t>
  </si>
  <si>
    <t>HG304</t>
  </si>
  <si>
    <t>Materialart</t>
  </si>
  <si>
    <t>Material</t>
  </si>
  <si>
    <t>HG305</t>
  </si>
  <si>
    <t>Profilart</t>
  </si>
  <si>
    <t>HG306</t>
  </si>
  <si>
    <t>Profilbreite</t>
  </si>
  <si>
    <t>HG307</t>
  </si>
  <si>
    <t>Profilhöhe</t>
  </si>
  <si>
    <t>HG308</t>
  </si>
  <si>
    <t>Profilauskleidung</t>
  </si>
  <si>
    <t>HG309</t>
  </si>
  <si>
    <t>Profilauskleidungsmaterial</t>
  </si>
  <si>
    <t>HG310</t>
  </si>
  <si>
    <t>Haltungslänge</t>
  </si>
  <si>
    <t>HG311</t>
  </si>
  <si>
    <t>Haltungsgefälle</t>
  </si>
  <si>
    <t>HG312</t>
  </si>
  <si>
    <t>Tiefe</t>
  </si>
  <si>
    <t>HG313</t>
  </si>
  <si>
    <t>Haltungsart</t>
  </si>
  <si>
    <t>HG314</t>
  </si>
  <si>
    <t>Rohrlänge</t>
  </si>
  <si>
    <t>HG315</t>
  </si>
  <si>
    <t>HG316</t>
  </si>
  <si>
    <t>HG401</t>
  </si>
  <si>
    <t>Funktionszustand</t>
  </si>
  <si>
    <t>HG402</t>
  </si>
  <si>
    <t>Eigentum</t>
  </si>
  <si>
    <t>HG403</t>
  </si>
  <si>
    <t>Wasserschutzzone</t>
  </si>
  <si>
    <t>HG404</t>
  </si>
  <si>
    <t>HG405</t>
  </si>
  <si>
    <t>Grundwasserstand</t>
  </si>
  <si>
    <t>HG406</t>
  </si>
  <si>
    <t>Überschwemmungsgebiet</t>
  </si>
  <si>
    <t>HG407</t>
  </si>
  <si>
    <t>HG408</t>
  </si>
  <si>
    <t>Einstauhäufigkeit</t>
  </si>
  <si>
    <t>HG409</t>
  </si>
  <si>
    <t>Bodengruppe</t>
  </si>
  <si>
    <t>HG410</t>
  </si>
  <si>
    <t>Wanddicke</t>
  </si>
  <si>
    <t>HG411</t>
  </si>
  <si>
    <t>Lagerungsart</t>
  </si>
  <si>
    <t>HG998</t>
  </si>
  <si>
    <t>HG999</t>
  </si>
  <si>
    <t>HI001</t>
  </si>
  <si>
    <t>HI002</t>
  </si>
  <si>
    <t>Projektnummer</t>
  </si>
  <si>
    <t>HI003</t>
  </si>
  <si>
    <t>Inspektionsnummer</t>
  </si>
  <si>
    <t>HI004</t>
  </si>
  <si>
    <t>Inspektionsgrund</t>
  </si>
  <si>
    <t>HI005</t>
  </si>
  <si>
    <t>Kodiersystem</t>
  </si>
  <si>
    <t>HI006</t>
  </si>
  <si>
    <t>HI007</t>
  </si>
  <si>
    <t>Bearbeitungsstatus</t>
  </si>
  <si>
    <t>HI008</t>
  </si>
  <si>
    <t>Bearbeitungshinweis</t>
  </si>
  <si>
    <t>HI101</t>
  </si>
  <si>
    <t>Inspektionsrichtung</t>
  </si>
  <si>
    <t>HI102</t>
  </si>
  <si>
    <t>HI103</t>
  </si>
  <si>
    <t>Inspektionsart</t>
  </si>
  <si>
    <t>HI104</t>
  </si>
  <si>
    <t>Inspektionsdatum</t>
  </si>
  <si>
    <t>HI105</t>
  </si>
  <si>
    <t>Inspektionszeit</t>
  </si>
  <si>
    <t>HI106</t>
  </si>
  <si>
    <t>Wetter</t>
  </si>
  <si>
    <t>HI107</t>
  </si>
  <si>
    <t>Reinigung</t>
  </si>
  <si>
    <t>HI108</t>
  </si>
  <si>
    <t>Temperatur</t>
  </si>
  <si>
    <t>HI109</t>
  </si>
  <si>
    <t>Vorflutsicherung</t>
  </si>
  <si>
    <t>HI110</t>
  </si>
  <si>
    <t>Wasserspiegel</t>
  </si>
  <si>
    <t>HI111</t>
  </si>
  <si>
    <t>Firma</t>
  </si>
  <si>
    <t>HI112</t>
  </si>
  <si>
    <t>Inspekteur</t>
  </si>
  <si>
    <t>HI113</t>
  </si>
  <si>
    <t>Bauleitung</t>
  </si>
  <si>
    <t>HI114</t>
  </si>
  <si>
    <t>Videospeichermedium</t>
  </si>
  <si>
    <t>HI115</t>
  </si>
  <si>
    <t>Wahl</t>
  </si>
  <si>
    <t>Einheit</t>
  </si>
  <si>
    <t>Format</t>
  </si>
  <si>
    <t>Versionnumer der Schnittstelle</t>
  </si>
  <si>
    <t>A10</t>
  </si>
  <si>
    <t>A1</t>
  </si>
  <si>
    <t>HG</t>
  </si>
  <si>
    <t>Haltungsgrunddaten</t>
  </si>
  <si>
    <t>A33</t>
  </si>
  <si>
    <t>Alternative Haltungsbezeichnung</t>
  </si>
  <si>
    <t>A16</t>
  </si>
  <si>
    <t>Knotenbezeichnung oben</t>
  </si>
  <si>
    <t>Knotenbezeichnung unten</t>
  </si>
  <si>
    <t>Bezeichnung Endpunkt</t>
  </si>
  <si>
    <t>Objekttyp bei Anschlussleitung</t>
  </si>
  <si>
    <t>Stationierung der Anschlussleitung</t>
  </si>
  <si>
    <t>[m]</t>
  </si>
  <si>
    <t>F7.2</t>
  </si>
  <si>
    <t>Stationierungsrichtung der Anschlussleitung</t>
  </si>
  <si>
    <t>Positionierung bei Anschlussleitungen</t>
  </si>
  <si>
    <t>A2</t>
  </si>
  <si>
    <t>Typ Endpunkt</t>
  </si>
  <si>
    <t>Kind von</t>
  </si>
  <si>
    <t>[-] I6</t>
  </si>
  <si>
    <t>[-] I4</t>
  </si>
  <si>
    <t>A6</t>
  </si>
  <si>
    <t>A4</t>
  </si>
  <si>
    <t>[mm] I4</t>
  </si>
  <si>
    <t>[m] F8.3</t>
  </si>
  <si>
    <t>[â€°] F7.2</t>
  </si>
  <si>
    <t>Mittlere Tiefe</t>
  </si>
  <si>
    <t>[m] F7.3</t>
  </si>
  <si>
    <t>Status Profilangaben</t>
  </si>
  <si>
    <t>Profilauskleidung selbsttragend</t>
  </si>
  <si>
    <t>B1</t>
  </si>
  <si>
    <t>Nachf olgedokument:  DWA-M 145-A12 (2 013-12, t) (D E45627711) 110</t>
  </si>
  <si>
    <t>Lage im Verkehrsraum</t>
  </si>
  <si>
    <t>Status Daten</t>
  </si>
  <si>
    <t>[mm] I3</t>
  </si>
  <si>
    <t>A3</t>
  </si>
  <si>
    <t>GO</t>
  </si>
  <si>
    <t>Geometrieobjektdaten</t>
  </si>
  <si>
    <t>A30</t>
  </si>
  <si>
    <t>GP</t>
  </si>
  <si>
    <t>Geometriepunktdaten</t>
  </si>
  <si>
    <t>Angabe des Koordinatensystems</t>
  </si>
  <si>
    <t>F11.3</t>
  </si>
  <si>
    <t>A12</t>
  </si>
  <si>
    <t>F8.3</t>
  </si>
  <si>
    <t>Orientierung bei Kreisbogen zum</t>
  </si>
  <si>
    <t>HI</t>
  </si>
  <si>
    <t>Haltungsinspektionsdaten</t>
  </si>
  <si>
    <t>A8</t>
  </si>
  <si>
    <t>I4</t>
  </si>
  <si>
    <t>A20</t>
  </si>
  <si>
    <t>Eingesetzes Kamerasystem</t>
  </si>
  <si>
    <t>Nachfolgedoku ment: DWA-MM 1 45-1 (2013-1 2, t) (DE456277 11)</t>
  </si>
  <si>
    <t>Bezugspunkt Start</t>
  </si>
  <si>
    <t>D10</t>
  </si>
  <si>
    <t>A7</t>
  </si>
  <si>
    <t>[oC]</t>
  </si>
  <si>
    <t>I3</t>
  </si>
  <si>
    <t>[%]</t>
  </si>
  <si>
    <t>Name des Speichermediums</t>
  </si>
  <si>
    <t>HI116</t>
  </si>
  <si>
    <t>Dateiname digitales Video</t>
  </si>
  <si>
    <t>HI117</t>
  </si>
  <si>
    <t>Fotospeichermedium</t>
  </si>
  <si>
    <t>HI201</t>
  </si>
  <si>
    <t>Meldung</t>
  </si>
  <si>
    <t>HI202</t>
  </si>
  <si>
    <t>Datum der Meldung</t>
  </si>
  <si>
    <t>HI203</t>
  </si>
  <si>
    <t>Melder</t>
  </si>
  <si>
    <t>HI204</t>
  </si>
  <si>
    <t>Datum der Beurteilung</t>
  </si>
  <si>
    <t>HI205</t>
  </si>
  <si>
    <t>Beurteiler</t>
  </si>
  <si>
    <t>HI206</t>
  </si>
  <si>
    <t>Maximale Zustandsklasse Dichtheit</t>
  </si>
  <si>
    <t>[-]</t>
  </si>
  <si>
    <t>I1</t>
  </si>
  <si>
    <t>HI207</t>
  </si>
  <si>
    <t>Maximale Zustandslasse Standsicherheit</t>
  </si>
  <si>
    <t>HI208</t>
  </si>
  <si>
    <t>Maximale Zustandsklasse Betriebs-</t>
  </si>
  <si>
    <t>sicherheit</t>
  </si>
  <si>
    <t>HI209</t>
  </si>
  <si>
    <t>Zustandspunkte Dichtheit</t>
  </si>
  <si>
    <t>HI210</t>
  </si>
  <si>
    <t>Zustandspunkte Standsicherheit</t>
  </si>
  <si>
    <t>HI211</t>
  </si>
  <si>
    <t>Zustandspunkte Betriebssicherheit</t>
  </si>
  <si>
    <t>HI212</t>
  </si>
  <si>
    <t>Bewertungspunkte Dichtheit</t>
  </si>
  <si>
    <t>HI213</t>
  </si>
  <si>
    <t>Bewertungspunkte Standsicherheit</t>
  </si>
  <si>
    <t>HI214</t>
  </si>
  <si>
    <t>Bewertungspunkte Betriebssicherheit</t>
  </si>
  <si>
    <t>HI215</t>
  </si>
  <si>
    <t>Sanierungsbedarfszahl</t>
  </si>
  <si>
    <t>I5</t>
  </si>
  <si>
    <t>HI216</t>
  </si>
  <si>
    <t>Beurteilung (Klasse)</t>
  </si>
  <si>
    <t>HI217</t>
  </si>
  <si>
    <t>I10</t>
  </si>
  <si>
    <t>HI998</t>
  </si>
  <si>
    <t>Nachfo lgedokument: D WA-M 145-1M (2 013-12, t) (DE 45627711)</t>
  </si>
  <si>
    <t>HI999</t>
  </si>
  <si>
    <t>HZ</t>
  </si>
  <si>
    <t>Haltungszustandsdaten</t>
  </si>
  <si>
    <t>HZ001</t>
  </si>
  <si>
    <t>F6.1</t>
  </si>
  <si>
    <t>HZ002</t>
  </si>
  <si>
    <t>Kode</t>
  </si>
  <si>
    <t>A5</t>
  </si>
  <si>
    <t>HZ014</t>
  </si>
  <si>
    <t>Charakterisierung 1</t>
  </si>
  <si>
    <t>HZ015</t>
  </si>
  <si>
    <t>Charakterisierung 2</t>
  </si>
  <si>
    <t>HZ003</t>
  </si>
  <si>
    <t>Quantifizierung 1</t>
  </si>
  <si>
    <t>[*]</t>
  </si>
  <si>
    <t>F7.1</t>
  </si>
  <si>
    <t>HZ004</t>
  </si>
  <si>
    <t>Quantifizierung 2</t>
  </si>
  <si>
    <t>HZ005</t>
  </si>
  <si>
    <t>Streckenschaden</t>
  </si>
  <si>
    <t>HZ006</t>
  </si>
  <si>
    <t>Position von</t>
  </si>
  <si>
    <t>HZ007</t>
  </si>
  <si>
    <t>Position nach</t>
  </si>
  <si>
    <t>HZ008</t>
  </si>
  <si>
    <t>HZ009</t>
  </si>
  <si>
    <t>Bildname</t>
  </si>
  <si>
    <t>HZ010</t>
  </si>
  <si>
    <t>Langtext</t>
  </si>
  <si>
    <t>HZ011</t>
  </si>
  <si>
    <t>Verbindung</t>
  </si>
  <si>
    <t>HZ012</t>
  </si>
  <si>
    <t>Auskleidung</t>
  </si>
  <si>
    <t>HZ016</t>
  </si>
  <si>
    <t>Punktuelle Reparatur Haltung</t>
  </si>
  <si>
    <t>HZ017</t>
  </si>
  <si>
    <t>Standardisierte Anmerkung</t>
  </si>
  <si>
    <t>HZ201</t>
  </si>
  <si>
    <t>HZ202</t>
  </si>
  <si>
    <t>HZ203</t>
  </si>
  <si>
    <t>HZ204</t>
  </si>
  <si>
    <t>Datum der Klassifizierung</t>
  </si>
  <si>
    <t>HZ205</t>
  </si>
  <si>
    <t>Klassifizierer</t>
  </si>
  <si>
    <t>HZ206</t>
  </si>
  <si>
    <t>Zustandsklasse Dichtheit</t>
  </si>
  <si>
    <t>[-] I1</t>
  </si>
  <si>
    <t>HZ207</t>
  </si>
  <si>
    <t>Zustandsklasse Standsicherheit</t>
  </si>
  <si>
    <t>HZ208</t>
  </si>
  <si>
    <t>Zustandsklasse Betriebssicherheit</t>
  </si>
  <si>
    <t>HZ997</t>
  </si>
  <si>
    <t>HZ998</t>
  </si>
  <si>
    <t>HZ999</t>
  </si>
  <si>
    <t>HM</t>
  </si>
  <si>
    <t>Messwertdaten</t>
  </si>
  <si>
    <t>HM001</t>
  </si>
  <si>
    <t>[m] F6.2</t>
  </si>
  <si>
    <t>HM002</t>
  </si>
  <si>
    <t>Messwerttyp</t>
  </si>
  <si>
    <t>HM101</t>
  </si>
  <si>
    <t>Messwert</t>
  </si>
  <si>
    <t>[*] F8.3</t>
  </si>
  <si>
    <t>HM102</t>
  </si>
  <si>
    <t>HM999</t>
  </si>
  <si>
    <t>KG</t>
  </si>
  <si>
    <t>Knotengrunddaten</t>
  </si>
  <si>
    <t>KG001</t>
  </si>
  <si>
    <t>KG002</t>
  </si>
  <si>
    <t>Alternative Knotenbezeichnung</t>
  </si>
  <si>
    <t>KG101</t>
  </si>
  <si>
    <t>[-] Nachfolgedok ument: DWAI-M6  145-1 (2013-1 2, t) (DE45620707111 )</t>
  </si>
  <si>
    <t>KG102</t>
  </si>
  <si>
    <t>KG103</t>
  </si>
  <si>
    <t>KG104</t>
  </si>
  <si>
    <t>KG105</t>
  </si>
  <si>
    <t>KG106</t>
  </si>
  <si>
    <t>KG107</t>
  </si>
  <si>
    <t>KG108</t>
  </si>
  <si>
    <t>KG211</t>
  </si>
  <si>
    <t>Schachttiefe</t>
  </si>
  <si>
    <t>KG301</t>
  </si>
  <si>
    <t>KG302</t>
  </si>
  <si>
    <t>KG303</t>
  </si>
  <si>
    <t>KG304</t>
  </si>
  <si>
    <t>KG305</t>
  </si>
  <si>
    <t>KG306</t>
  </si>
  <si>
    <t>Bauwerksart</t>
  </si>
  <si>
    <t>KG307</t>
  </si>
  <si>
    <t>Schachtform</t>
  </si>
  <si>
    <t>KG308</t>
  </si>
  <si>
    <t>[mm] I5</t>
  </si>
  <si>
    <t>KG309</t>
  </si>
  <si>
    <t>Schachtbreite</t>
  </si>
  <si>
    <t>KG310</t>
  </si>
  <si>
    <t>Deckelform</t>
  </si>
  <si>
    <t>KG311</t>
  </si>
  <si>
    <t>Deckelmaterial</t>
  </si>
  <si>
    <t>KG312</t>
  </si>
  <si>
    <t>Deckelklasse</t>
  </si>
  <si>
    <t>KG313</t>
  </si>
  <si>
    <t>Deckelbreite</t>
  </si>
  <si>
    <t>KG314</t>
  </si>
  <si>
    <t>KG315</t>
  </si>
  <si>
    <t>Deckel verschraubt</t>
  </si>
  <si>
    <t>KG316</t>
  </si>
  <si>
    <t>Gerinneform</t>
  </si>
  <si>
    <t>KG317</t>
  </si>
  <si>
    <t>Gerinnematerial</t>
  </si>
  <si>
    <t>KG318</t>
  </si>
  <si>
    <t>Gerinnebreite</t>
  </si>
  <si>
    <t>KG319</t>
  </si>
  <si>
    <t>KG320</t>
  </si>
  <si>
    <t>Bermematerial</t>
  </si>
  <si>
    <t>KG321</t>
  </si>
  <si>
    <t>Innenschutz</t>
  </si>
  <si>
    <t>KG322</t>
  </si>
  <si>
    <t>Innenschutzmaterial</t>
  </si>
  <si>
    <t>KG323</t>
  </si>
  <si>
    <t>Steighilfe</t>
  </si>
  <si>
    <t>KG324</t>
  </si>
  <si>
    <t>Anzahl Steigeisen</t>
  </si>
  <si>
    <t>[-] I3</t>
  </si>
  <si>
    <t>KG325</t>
  </si>
  <si>
    <t>Steighilfenwerkstoff</t>
  </si>
  <si>
    <t>KG326</t>
  </si>
  <si>
    <t>Messtechnik</t>
  </si>
  <si>
    <t>KG401</t>
  </si>
  <si>
    <t>KG402</t>
  </si>
  <si>
    <t>KG403</t>
  </si>
  <si>
    <t>KG404</t>
  </si>
  <si>
    <t>KG405</t>
  </si>
  <si>
    <t>Nachfolgedokument: DWA-M 145-1 (2013-12, t) (DE45627711)</t>
  </si>
  <si>
    <t>KG406</t>
  </si>
  <si>
    <t>KG407</t>
  </si>
  <si>
    <t>KG408</t>
  </si>
  <si>
    <t>KG409</t>
  </si>
  <si>
    <t>KG998</t>
  </si>
  <si>
    <t>KG999</t>
  </si>
  <si>
    <t>[m] F11.3</t>
  </si>
  <si>
    <t>KI</t>
  </si>
  <si>
    <t>Knoteninspektionsdaten</t>
  </si>
  <si>
    <t>KI001</t>
  </si>
  <si>
    <t>KI002</t>
  </si>
  <si>
    <t>KI003</t>
  </si>
  <si>
    <t>KI004</t>
  </si>
  <si>
    <t>KI005</t>
  </si>
  <si>
    <t>KI006</t>
  </si>
  <si>
    <t>Eingesetztes Kamerasystem</t>
  </si>
  <si>
    <t>KI007</t>
  </si>
  <si>
    <t>KI008</t>
  </si>
  <si>
    <t>KI101</t>
  </si>
  <si>
    <t>vertikaler Bezugspunkt</t>
  </si>
  <si>
    <t>KI102</t>
  </si>
  <si>
    <t>Bezugspunkt am Umfang</t>
  </si>
  <si>
    <t>KI103</t>
  </si>
  <si>
    <t>Nachfolgedok ument: DWAA-M3  145-1 (2013-1 2, t) (DE45622707311 )</t>
  </si>
  <si>
    <t>KI104</t>
  </si>
  <si>
    <t>KI105</t>
  </si>
  <si>
    <t>KI106</t>
  </si>
  <si>
    <t>KI107</t>
  </si>
  <si>
    <t>KI108</t>
  </si>
  <si>
    <t>[oC] I3</t>
  </si>
  <si>
    <t>KI109</t>
  </si>
  <si>
    <t>KI110</t>
  </si>
  <si>
    <t>[%] I3</t>
  </si>
  <si>
    <t>KI111</t>
  </si>
  <si>
    <t>KI112</t>
  </si>
  <si>
    <t>KI113</t>
  </si>
  <si>
    <t>KI114</t>
  </si>
  <si>
    <t>KI115</t>
  </si>
  <si>
    <t>KI116</t>
  </si>
  <si>
    <t>Dateiname des digitalen Videos</t>
  </si>
  <si>
    <t>KI117</t>
  </si>
  <si>
    <t>KI118</t>
  </si>
  <si>
    <t>Digitaler Fotoname</t>
  </si>
  <si>
    <t>KI119</t>
  </si>
  <si>
    <t>Betriebssicher</t>
  </si>
  <si>
    <t>KI120</t>
  </si>
  <si>
    <t>Konus richtig</t>
  </si>
  <si>
    <t>KI121</t>
  </si>
  <si>
    <t>Umgebungsluft</t>
  </si>
  <si>
    <t>KI122</t>
  </si>
  <si>
    <t>Umgebungsfoto</t>
  </si>
  <si>
    <t>KI201</t>
  </si>
  <si>
    <t>KI202</t>
  </si>
  <si>
    <t>KI203</t>
  </si>
  <si>
    <t>KI204</t>
  </si>
  <si>
    <t>KI205</t>
  </si>
  <si>
    <t>KI206</t>
  </si>
  <si>
    <t>KI207</t>
  </si>
  <si>
    <t>Maximale Zustandsklasse Standsicherheit</t>
  </si>
  <si>
    <t>KI208</t>
  </si>
  <si>
    <t>Maximale Zustandsklasse Betriebssicher-</t>
  </si>
  <si>
    <t>heit</t>
  </si>
  <si>
    <t>KI209</t>
  </si>
  <si>
    <t>KI210</t>
  </si>
  <si>
    <t>KI211</t>
  </si>
  <si>
    <t>KI212</t>
  </si>
  <si>
    <t>KI213</t>
  </si>
  <si>
    <t>KI214</t>
  </si>
  <si>
    <t>KI215</t>
  </si>
  <si>
    <t>[-] I5</t>
  </si>
  <si>
    <t>KI216</t>
  </si>
  <si>
    <t>KI217</t>
  </si>
  <si>
    <t>[-] I10</t>
  </si>
  <si>
    <t>KI998</t>
  </si>
  <si>
    <t>KI999</t>
  </si>
  <si>
    <t>KZ</t>
  </si>
  <si>
    <t>Knotenzustandsdaten</t>
  </si>
  <si>
    <t>Nachf olgedokument:  DWA-M 145-1  (2013-12, t) (D E45627711)</t>
  </si>
  <si>
    <t>KZ001</t>
  </si>
  <si>
    <t>[m] F7.2</t>
  </si>
  <si>
    <t>KZ002</t>
  </si>
  <si>
    <t>KZ014</t>
  </si>
  <si>
    <t>KZ015</t>
  </si>
  <si>
    <t>KZ003</t>
  </si>
  <si>
    <t>[*] F7.1</t>
  </si>
  <si>
    <t>KZ004</t>
  </si>
  <si>
    <t>KZ005</t>
  </si>
  <si>
    <t>KZ006</t>
  </si>
  <si>
    <t>Position Beginn</t>
  </si>
  <si>
    <t>KZ007</t>
  </si>
  <si>
    <t>Position Ende</t>
  </si>
  <si>
    <t>KZ008</t>
  </si>
  <si>
    <t>KZ009</t>
  </si>
  <si>
    <t>KZ010</t>
  </si>
  <si>
    <t>Langtext des Zustandes</t>
  </si>
  <si>
    <t>KZ011</t>
  </si>
  <si>
    <t>KZ013</t>
  </si>
  <si>
    <t>Schachtbereich</t>
  </si>
  <si>
    <t>KZ016</t>
  </si>
  <si>
    <t>Punktuelle Reparatur Knoten</t>
  </si>
  <si>
    <t>KZ017</t>
  </si>
  <si>
    <t>KZ201</t>
  </si>
  <si>
    <t>KZ202</t>
  </si>
  <si>
    <t>KZ203</t>
  </si>
  <si>
    <t>KZ204</t>
  </si>
  <si>
    <t>KZ205</t>
  </si>
  <si>
    <t>KZ206</t>
  </si>
  <si>
    <t>KZ207</t>
  </si>
  <si>
    <t>KZ208</t>
  </si>
  <si>
    <t>KZ997</t>
  </si>
  <si>
    <t>KZ998</t>
  </si>
  <si>
    <t>KZ999</t>
  </si>
  <si>
    <t>KA</t>
  </si>
  <si>
    <t>Knotenaufbaudaten</t>
  </si>
  <si>
    <t>KA001</t>
  </si>
  <si>
    <t>Bauteil</t>
  </si>
  <si>
    <t>KA002</t>
  </si>
  <si>
    <t>KA003</t>
  </si>
  <si>
    <t>Anzahl</t>
  </si>
  <si>
    <t>KA004</t>
  </si>
  <si>
    <t>KA005</t>
  </si>
  <si>
    <t>Breite</t>
  </si>
  <si>
    <t>KA006</t>
  </si>
  <si>
    <t>KA007</t>
  </si>
  <si>
    <t>Form</t>
  </si>
  <si>
    <t>KA998</t>
  </si>
  <si>
    <t>KA999</t>
  </si>
  <si>
    <t>RT</t>
  </si>
  <si>
    <t>Referenztabellen</t>
  </si>
  <si>
    <t>RT001</t>
  </si>
  <si>
    <t>Tabelle</t>
  </si>
  <si>
    <t>RT002</t>
  </si>
  <si>
    <t>RT003</t>
  </si>
  <si>
    <t>Kurztext</t>
  </si>
  <si>
    <t>Nachfolgedok ument: DWA-MM  145-1 (2013-1 2, t) (DE456277 11)</t>
  </si>
  <si>
    <t>RT004</t>
  </si>
  <si>
    <t>RT999</t>
  </si>
  <si>
    <t>Maßeinheit</t>
  </si>
  <si>
    <t>Platzhalter für kameraspezifische</t>
  </si>
  <si>
    <t>Platzhalter für kameraspezifische Kennung</t>
  </si>
  <si>
    <t>Schlüssel</t>
  </si>
  <si>
    <t>Angabe des Höhensystems</t>
  </si>
  <si>
    <t>Nummer der Kläranlage</t>
  </si>
  <si>
    <t>Priorität</t>
  </si>
  <si>
    <t>Videozählerstand</t>
  </si>
  <si>
    <t>Schachtlänge</t>
  </si>
  <si>
    <t>Deckellänge</t>
  </si>
  <si>
    <t>Gerinnelänge</t>
  </si>
  <si>
    <t>Orientierung bei Kreisbogen zum nächsten</t>
  </si>
  <si>
    <t>Länge</t>
  </si>
  <si>
    <t>FD</t>
  </si>
  <si>
    <t>Formatdaten</t>
  </si>
  <si>
    <t>Maximale Zustandsklasse Betriebssicherheit</t>
  </si>
  <si>
    <t>Orientierung bei Kreisbogen zum nächsten Punkt</t>
  </si>
  <si>
    <t>Ownership</t>
  </si>
  <si>
    <t>Child of</t>
  </si>
  <si>
    <t>Wall thickness</t>
  </si>
  <si>
    <t>AZ</t>
  </si>
  <si>
    <t>GGG</t>
  </si>
  <si>
    <t>ST</t>
  </si>
  <si>
    <t>GG</t>
  </si>
  <si>
    <t>Document</t>
  </si>
  <si>
    <t>Element Classification</t>
  </si>
  <si>
    <t>Element</t>
  </si>
  <si>
    <t>Pipe Sections</t>
  </si>
  <si>
    <t>Nodes</t>
  </si>
  <si>
    <t>Number of Elements</t>
  </si>
  <si>
    <t>GO/GP</t>
  </si>
  <si>
    <t>Percentage</t>
  </si>
  <si>
    <t>Number of Elements implemented into the Ontology</t>
  </si>
  <si>
    <t>HI/HM</t>
  </si>
  <si>
    <t>KG/KA</t>
  </si>
  <si>
    <t>Total</t>
  </si>
  <si>
    <t>Sum of Pipe Sections</t>
  </si>
  <si>
    <t>Sum of Nodes</t>
  </si>
  <si>
    <t>Geometry Object Identifier</t>
  </si>
  <si>
    <t>Geometry Object Type</t>
  </si>
  <si>
    <t>Area Pattern</t>
  </si>
  <si>
    <t>Easting</t>
  </si>
  <si>
    <t>Northing</t>
  </si>
  <si>
    <t>Height/Elevation</t>
  </si>
  <si>
    <t>Objekttyp</t>
  </si>
  <si>
    <t>Object Type</t>
  </si>
  <si>
    <t>Specification of the Coordinate System</t>
  </si>
  <si>
    <t>East Coordinate</t>
  </si>
  <si>
    <t>North Coordinate</t>
  </si>
  <si>
    <t>Specification of the Elevation System</t>
  </si>
  <si>
    <t>Point Type</t>
  </si>
  <si>
    <t>Orientation at Circular Arc to the Next Point</t>
  </si>
  <si>
    <t>Remarks</t>
  </si>
  <si>
    <t>Positional Accuracy</t>
  </si>
  <si>
    <t>Elevation Accuracy</t>
  </si>
  <si>
    <t>[mm]</t>
  </si>
  <si>
    <t>[‰}</t>
  </si>
  <si>
    <t>[Celsius]</t>
  </si>
  <si>
    <t>German Description</t>
  </si>
  <si>
    <t>English Translation</t>
  </si>
  <si>
    <t>Pipe Section: Basic Data</t>
  </si>
  <si>
    <t>DWA Format</t>
  </si>
  <si>
    <t>xsd:string</t>
  </si>
  <si>
    <t>Lageangabe des Anschlusses</t>
  </si>
  <si>
    <t xml:space="preserve">IRI </t>
  </si>
  <si>
    <t>xsd:float</t>
  </si>
  <si>
    <t>I = in flowing direction
G = against flowing direction</t>
  </si>
  <si>
    <t>(A)</t>
  </si>
  <si>
    <t>[m] / Float (F)</t>
  </si>
  <si>
    <t>xsd:boolean</t>
  </si>
  <si>
    <t>Bedding Type</t>
  </si>
  <si>
    <t>Annotations</t>
  </si>
  <si>
    <t>DIN EN 13508-2</t>
  </si>
  <si>
    <t>DIN EN 13508-2 (Code dependent)</t>
  </si>
  <si>
    <t>DIN EN 13508-2 (hh:mm:ss)</t>
  </si>
  <si>
    <t>Boolean</t>
  </si>
  <si>
    <t>DWA-M 149-3</t>
  </si>
  <si>
    <t>Client</t>
  </si>
  <si>
    <t>Project Number</t>
  </si>
  <si>
    <t>Inspection Number</t>
  </si>
  <si>
    <t>Coding System</t>
  </si>
  <si>
    <t>Camera System Used</t>
  </si>
  <si>
    <t>Processing Status</t>
  </si>
  <si>
    <t>Processing Note</t>
  </si>
  <si>
    <t>Inspection Direction</t>
  </si>
  <si>
    <t>Reference Point Start</t>
  </si>
  <si>
    <t>Type of Inspection</t>
  </si>
  <si>
    <t>Inspection Date</t>
  </si>
  <si>
    <t>Inspection Time</t>
  </si>
  <si>
    <t>Weather</t>
  </si>
  <si>
    <t>Cleaning</t>
  </si>
  <si>
    <t>Temperature</t>
  </si>
  <si>
    <t>Water Level</t>
  </si>
  <si>
    <t>Company</t>
  </si>
  <si>
    <t>Inspector</t>
  </si>
  <si>
    <t>Site Management</t>
  </si>
  <si>
    <t>Video Storage Medium</t>
  </si>
  <si>
    <t>Name of Storage Medium</t>
  </si>
  <si>
    <t>Digital Video Filename</t>
  </si>
  <si>
    <t>Photo Storage Medium</t>
  </si>
  <si>
    <t>Report</t>
  </si>
  <si>
    <t>Report Date</t>
  </si>
  <si>
    <t>Reporter</t>
  </si>
  <si>
    <t>Assessment Date</t>
  </si>
  <si>
    <t>Assessor</t>
  </si>
  <si>
    <t>Maximum Condition Class - Tightness</t>
  </si>
  <si>
    <t>Maximum Condition Class - Structural Stability</t>
  </si>
  <si>
    <t>Maximum Condition Class - Operational Safety</t>
  </si>
  <si>
    <t>Condition Points - Tightness</t>
  </si>
  <si>
    <t>Condition Points - Structural Stability</t>
  </si>
  <si>
    <t>Condition Points - Operational Safety</t>
  </si>
  <si>
    <t>Evaluation Points - Tightness</t>
  </si>
  <si>
    <t>Evaluation Points - Structural Stability</t>
  </si>
  <si>
    <t>Evaluation Points - Operational Safety</t>
  </si>
  <si>
    <t>Rehabilitation Requirement Number</t>
  </si>
  <si>
    <t>Assessment (Class)</t>
  </si>
  <si>
    <t>Priority</t>
  </si>
  <si>
    <t>Measurement Data</t>
  </si>
  <si>
    <t>Measurement Value</t>
  </si>
  <si>
    <t>Unit of Measurement</t>
  </si>
  <si>
    <t>Code</t>
  </si>
  <si>
    <t>Characterization 1</t>
  </si>
  <si>
    <t>Characterization 2</t>
  </si>
  <si>
    <t>Quantification 1</t>
  </si>
  <si>
    <t>Quantification 2</t>
  </si>
  <si>
    <t>Linear Damage</t>
  </si>
  <si>
    <t>Position From</t>
  </si>
  <si>
    <t>Position To</t>
  </si>
  <si>
    <t>Video Counter Reading</t>
  </si>
  <si>
    <t>Image Name</t>
  </si>
  <si>
    <t>Long Text</t>
  </si>
  <si>
    <t>Connection</t>
  </si>
  <si>
    <t>Lining</t>
  </si>
  <si>
    <t>Standardized Comment</t>
  </si>
  <si>
    <t>Classification Date</t>
  </si>
  <si>
    <t>Classifier</t>
  </si>
  <si>
    <t>Condition Class - Tightness</t>
  </si>
  <si>
    <t>Condition Class - Structural Stability</t>
  </si>
  <si>
    <t>Condition Class - Operational Safety</t>
  </si>
  <si>
    <t>Placeholder for Camera-Specific Data</t>
  </si>
  <si>
    <t>Geometry Object Data</t>
  </si>
  <si>
    <t>Geometry Point Data</t>
  </si>
  <si>
    <t>Pipe Section: Inspection Data</t>
  </si>
  <si>
    <t>Pipe Section: Condition Data</t>
  </si>
  <si>
    <t>OWL Component</t>
  </si>
  <si>
    <t>Object Property</t>
  </si>
  <si>
    <t>Data Property</t>
  </si>
  <si>
    <t>"isChildOf" or its inverse ="isParentOf"</t>
  </si>
  <si>
    <t>Label (@en)</t>
  </si>
  <si>
    <t>hasStreetName</t>
  </si>
  <si>
    <t>hasStreetCode</t>
  </si>
  <si>
    <t>hasDistrictCode</t>
  </si>
  <si>
    <t>hasDistrictName</t>
  </si>
  <si>
    <t>hasCatchmentAreaCode</t>
  </si>
  <si>
    <t>hasTreatmentPlantNumber</t>
  </si>
  <si>
    <t>hasSewerType</t>
  </si>
  <si>
    <t>hasYearOfConstruction</t>
  </si>
  <si>
    <t>hasMaterial</t>
  </si>
  <si>
    <t>hasPipeSectionLength</t>
  </si>
  <si>
    <t>hasPipeSectionGradient</t>
  </si>
  <si>
    <t>hasDepth</t>
  </si>
  <si>
    <t>hasPipeSectionType</t>
  </si>
  <si>
    <t>hasFunctionalStatus</t>
  </si>
  <si>
    <t>hasOwner</t>
  </si>
  <si>
    <t>hasTrafficArea</t>
  </si>
  <si>
    <t>hasGroundwaterLevel</t>
  </si>
  <si>
    <t>hasStatusData</t>
  </si>
  <si>
    <t>hasSoilGroup</t>
  </si>
  <si>
    <t>hasWaterProtectionZone</t>
  </si>
  <si>
    <t>hasGeometryObjectIdentifier</t>
  </si>
  <si>
    <t>hasGeometryObjectType</t>
  </si>
  <si>
    <t>hasCoordinateSystem</t>
  </si>
  <si>
    <t>hasEasting</t>
  </si>
  <si>
    <t>hasNorthing</t>
  </si>
  <si>
    <t>hasEastCoordinate</t>
  </si>
  <si>
    <t>hasNorthCoordinate</t>
  </si>
  <si>
    <t>hasHeight</t>
  </si>
  <si>
    <t>hasPositionalAccuracy</t>
  </si>
  <si>
    <t>hasElevationAccuracy</t>
  </si>
  <si>
    <t>hasElevationSystem</t>
  </si>
  <si>
    <t>hasPointType</t>
  </si>
  <si>
    <t>hasOrientation</t>
  </si>
  <si>
    <t>hasPipeSectionBasicData</t>
  </si>
  <si>
    <t>hasClient</t>
  </si>
  <si>
    <t>hasProjectNumber</t>
  </si>
  <si>
    <t>hasCodingSystem</t>
  </si>
  <si>
    <t>hasCameraSystemUsed</t>
  </si>
  <si>
    <t>hasProcessingStatus</t>
  </si>
  <si>
    <t>hasProcessingNote</t>
  </si>
  <si>
    <t>hasWeather</t>
  </si>
  <si>
    <t>hasCleaning</t>
  </si>
  <si>
    <t>hasTemperature</t>
  </si>
  <si>
    <t>hasBackflowPrevention</t>
  </si>
  <si>
    <t>hasWaterLevel</t>
  </si>
  <si>
    <t>hasCompany</t>
  </si>
  <si>
    <t>hasInspector</t>
  </si>
  <si>
    <t>hasSiteManagement</t>
  </si>
  <si>
    <t>hasVideoStorageMedium</t>
  </si>
  <si>
    <t>hasPhotoStorageMedium</t>
  </si>
  <si>
    <t>hasReport</t>
  </si>
  <si>
    <t>hasReportDate</t>
  </si>
  <si>
    <t>hasReporter</t>
  </si>
  <si>
    <t>hasAssessmentDate</t>
  </si>
  <si>
    <t>hasAssessor</t>
  </si>
  <si>
    <t>hasMaximumConditionClassTightness</t>
  </si>
  <si>
    <t>hasMaximumConditionClassStructuralStability</t>
  </si>
  <si>
    <t>hasMaximumConditionClassOperationalSafety</t>
  </si>
  <si>
    <t>hasConditionPointsTightness</t>
  </si>
  <si>
    <t>hasConditionPointsStructuralStability</t>
  </si>
  <si>
    <t>hasConditionPointsOperationalSafety</t>
  </si>
  <si>
    <t>hasEvaluationPointsTightness</t>
  </si>
  <si>
    <t>hasEvaluationPointsStructuralStability</t>
  </si>
  <si>
    <t>hasEvaluationPointsOperationalSafety</t>
  </si>
  <si>
    <t>hasAssessmentClass</t>
  </si>
  <si>
    <t>hasPriority</t>
  </si>
  <si>
    <t>hasGeometryObjectData</t>
  </si>
  <si>
    <t>hasGeometryPointData</t>
  </si>
  <si>
    <t>hasPipeSectionInspectionData</t>
  </si>
  <si>
    <t>hasMeasurementData</t>
  </si>
  <si>
    <t>hasMeasurementValue</t>
  </si>
  <si>
    <t>hasCharacterization1</t>
  </si>
  <si>
    <t>hasCharacterization2</t>
  </si>
  <si>
    <t>hasQuantification1</t>
  </si>
  <si>
    <t>hasQuantification2</t>
  </si>
  <si>
    <t>hasLinearDamage</t>
  </si>
  <si>
    <t>hasPositionFrom</t>
  </si>
  <si>
    <t>hasPositionTo</t>
  </si>
  <si>
    <t>hasVideoCounterReading</t>
  </si>
  <si>
    <t>hasImageName</t>
  </si>
  <si>
    <t>hasLongText</t>
  </si>
  <si>
    <t>hasConnection</t>
  </si>
  <si>
    <t>hasStandardizedComment</t>
  </si>
  <si>
    <t>hasClassificationDate</t>
  </si>
  <si>
    <t>hasClassifier</t>
  </si>
  <si>
    <t>hasConditionClassTightness</t>
  </si>
  <si>
    <t>hasConditionClassStructuralStability</t>
  </si>
  <si>
    <t>hasConditionClassOperationalSafety</t>
  </si>
  <si>
    <t>hasCameraSpecificDataPlaceholder</t>
  </si>
  <si>
    <t>hasMeasurementStation</t>
  </si>
  <si>
    <t>District Code</t>
  </si>
  <si>
    <t>hasPipeSectionConditionData</t>
  </si>
  <si>
    <t>Individual Name: Class Component/PipeSection (Template: PipeSection[HG001])</t>
  </si>
  <si>
    <t>hasInspectionNumber</t>
  </si>
  <si>
    <t>hasConditionCode</t>
  </si>
  <si>
    <t>Node: Basic Data</t>
  </si>
  <si>
    <t>Municipality Code</t>
  </si>
  <si>
    <t>hasMunicipalityCode</t>
  </si>
  <si>
    <t>Area Code</t>
  </si>
  <si>
    <t>hasAreaCode</t>
  </si>
  <si>
    <t>hasFloodingFrequency</t>
  </si>
  <si>
    <t>hasDesignation</t>
  </si>
  <si>
    <t>hasAlternativeDesignation</t>
  </si>
  <si>
    <t>Street Code</t>
  </si>
  <si>
    <t>Street Name</t>
  </si>
  <si>
    <t>District Name</t>
  </si>
  <si>
    <t>Catchment Area Code</t>
  </si>
  <si>
    <t>Sewage Treatment Plant Number</t>
  </si>
  <si>
    <t>Manhole Depth</t>
  </si>
  <si>
    <t>Sewer Type</t>
  </si>
  <si>
    <t>Sewer Usage</t>
  </si>
  <si>
    <t>Year of Construction</t>
  </si>
  <si>
    <t>Material Type</t>
  </si>
  <si>
    <t>Structure Type</t>
  </si>
  <si>
    <t>Manhole Shape</t>
  </si>
  <si>
    <t>Manhole Length</t>
  </si>
  <si>
    <t>Manhole Width</t>
  </si>
  <si>
    <t>Cover Shape</t>
  </si>
  <si>
    <t>Cover Material</t>
  </si>
  <si>
    <t>Cover Width</t>
  </si>
  <si>
    <t>Cover Length</t>
  </si>
  <si>
    <t>Cover Bolted</t>
  </si>
  <si>
    <t>Channel Shape</t>
  </si>
  <si>
    <t>Channel Material</t>
  </si>
  <si>
    <t>Channel Width</t>
  </si>
  <si>
    <t>Channel Length</t>
  </si>
  <si>
    <t>Bench Material</t>
  </si>
  <si>
    <t>Internal Protection</t>
  </si>
  <si>
    <t>Internal Protection Material</t>
  </si>
  <si>
    <t>Climbing Aid</t>
  </si>
  <si>
    <t>Number of Climbing Irons</t>
  </si>
  <si>
    <t>Climbing Aid Material</t>
  </si>
  <si>
    <t>Measurement Technology</t>
  </si>
  <si>
    <t>Functional Condition</t>
  </si>
  <si>
    <t>Water Protection Zone</t>
  </si>
  <si>
    <t>Location in Traffic Area</t>
  </si>
  <si>
    <t>Groundwater Level</t>
  </si>
  <si>
    <t>Flood Area</t>
  </si>
  <si>
    <t>Data Status</t>
  </si>
  <si>
    <t>Soil Group</t>
  </si>
  <si>
    <t>Node Designation</t>
  </si>
  <si>
    <t>Alternative Node Designation</t>
  </si>
  <si>
    <t>Top Node Designation</t>
  </si>
  <si>
    <t>Lower Node Designation</t>
  </si>
  <si>
    <t>End Point Designation</t>
  </si>
  <si>
    <t>Stationing of the Connecting Pipe</t>
  </si>
  <si>
    <t>Stationing Direction of the Connecting Pipe</t>
  </si>
  <si>
    <t>Positioning for Connecting Pipe</t>
  </si>
  <si>
    <t>Type End Point</t>
  </si>
  <si>
    <t>Pipe Designation</t>
  </si>
  <si>
    <t>Profile Type</t>
  </si>
  <si>
    <t>Profile Width</t>
  </si>
  <si>
    <t>Profile Height</t>
  </si>
  <si>
    <t>Profile Lining</t>
  </si>
  <si>
    <t>Profile Lining Material</t>
  </si>
  <si>
    <t>Pipe Section Length</t>
  </si>
  <si>
    <t>Pipe Section Gradient</t>
  </si>
  <si>
    <t>Average Depth</t>
  </si>
  <si>
    <t>Pipe Section Type</t>
  </si>
  <si>
    <t>Pipe Length</t>
  </si>
  <si>
    <t>Status Profile Details</t>
  </si>
  <si>
    <t>Profile Lining Self-supporting</t>
  </si>
  <si>
    <t>Flooding Frequency</t>
  </si>
  <si>
    <t>Grunddaten</t>
  </si>
  <si>
    <t>Basic Data</t>
  </si>
  <si>
    <t>HG/KG</t>
  </si>
  <si>
    <t>hasFloodArea</t>
  </si>
  <si>
    <t>hasBasicData</t>
  </si>
  <si>
    <t>hasNodeBasicData</t>
  </si>
  <si>
    <t>Node Type</t>
  </si>
  <si>
    <t>Individual Name: Class Component/Node (Template: Node[KG001])</t>
  </si>
  <si>
    <t>Width</t>
  </si>
  <si>
    <t>Length</t>
  </si>
  <si>
    <t>Shape</t>
  </si>
  <si>
    <t>hasNodeType</t>
  </si>
  <si>
    <t>xsd:integer</t>
  </si>
  <si>
    <t>Inspection Reason</t>
  </si>
  <si>
    <t>Vertical Reference Point</t>
  </si>
  <si>
    <t>Circumferential Reference Point</t>
  </si>
  <si>
    <t>Backflow Protection</t>
  </si>
  <si>
    <t>Digital Photo Name</t>
  </si>
  <si>
    <t>Operationally Safe/Safe for Operation</t>
  </si>
  <si>
    <t>Cone Correct/Proper Cone Setup</t>
  </si>
  <si>
    <t>Ambient Air</t>
  </si>
  <si>
    <t>Ambient Photo/Surrounding Photo</t>
  </si>
  <si>
    <t>hasInspectionReason</t>
  </si>
  <si>
    <t>HI/KI</t>
  </si>
  <si>
    <t>Inspection Data</t>
  </si>
  <si>
    <t>hasInspectionData</t>
  </si>
  <si>
    <t>hasNodeInspectionData</t>
  </si>
  <si>
    <t>Inspektionsdaten</t>
  </si>
  <si>
    <t>Node: Inspection Data</t>
  </si>
  <si>
    <t>hasInspectionType</t>
  </si>
  <si>
    <t>hasVideoStorageMediumName</t>
  </si>
  <si>
    <t>hasVideoFilename</t>
  </si>
  <si>
    <t>Manhole Area</t>
  </si>
  <si>
    <t>Localized Repair (Node)</t>
  </si>
  <si>
    <t>Localized Repair (Pipe Section)</t>
  </si>
  <si>
    <t>Node: Condition Data</t>
  </si>
  <si>
    <t>HZ/KZ</t>
  </si>
  <si>
    <t>Zustandsdaten</t>
  </si>
  <si>
    <t>Condition Data</t>
  </si>
  <si>
    <t>Station (Zustand)</t>
  </si>
  <si>
    <t>Station (Messwert)</t>
  </si>
  <si>
    <t>Station (Measurement)</t>
  </si>
  <si>
    <t>Station (Condition)</t>
  </si>
  <si>
    <t>hasNodeConditionData</t>
  </si>
  <si>
    <t>hasConditionData</t>
  </si>
  <si>
    <t>Individual Name: Class Condition (Template: Condition[HG001]_[HZ001/KZ001]_[HZ002/KZ002])</t>
  </si>
  <si>
    <t>Individual Name: Class Geometry/Object (Template: GeoObject[HG001])</t>
  </si>
  <si>
    <t>Individual Name: Class Geometry/Object/Point (Template: GeoPoint[GO001])</t>
  </si>
  <si>
    <t>Height (Node)</t>
  </si>
  <si>
    <t>Höhe (Knote)</t>
  </si>
  <si>
    <t>Node: Structure Data</t>
  </si>
  <si>
    <t>hasNodeStructureData</t>
  </si>
  <si>
    <t>Component</t>
  </si>
  <si>
    <t>Quantity</t>
  </si>
  <si>
    <t>Material Type (Node)</t>
  </si>
  <si>
    <t>hasNodeStructureComponent</t>
  </si>
  <si>
    <t>hasNodeStructureMaterial</t>
  </si>
  <si>
    <t>hasNodeStructureQuantity</t>
  </si>
  <si>
    <t>hasNodeStructureHeight</t>
  </si>
  <si>
    <t>hasNodeStructureWidth</t>
  </si>
  <si>
    <t>hasNodeStructureLength</t>
  </si>
  <si>
    <t>hasNodeStructureShape</t>
  </si>
  <si>
    <t>hasPipeSectionObjectType</t>
  </si>
  <si>
    <t>hasPipeSectionConnectingPipeStationing</t>
  </si>
  <si>
    <t>hasPipeSectionConnectingPipeStationingDirection</t>
  </si>
  <si>
    <t>hasPipeSectionConnectingPipePositioning</t>
  </si>
  <si>
    <t>hasPipeSectionEndPointType</t>
  </si>
  <si>
    <t>hasPipeSectionPipelineDesignation</t>
  </si>
  <si>
    <t>hasPipeSectionProfileType</t>
  </si>
  <si>
    <t>hasPipeSectionProfileWidth</t>
  </si>
  <si>
    <t>hasPipeSectionProfileHeight</t>
  </si>
  <si>
    <t>hasPipeSectionProfileLining</t>
  </si>
  <si>
    <t>hasPipeSectionProfileLiningMaterial</t>
  </si>
  <si>
    <t>hasPipeSectionStatusProfileDetail</t>
  </si>
  <si>
    <t>hasPipeSectionSelfSupportingLining</t>
  </si>
  <si>
    <t>hasPipeSectionWallThickness</t>
  </si>
  <si>
    <t>hasPipeSectionBeddingType</t>
  </si>
  <si>
    <t>hasPipeSectionPipeLength</t>
  </si>
  <si>
    <t>hasNodeStructureType</t>
  </si>
  <si>
    <t>hasNodeManholeShape</t>
  </si>
  <si>
    <t>hasNodeManholeLength</t>
  </si>
  <si>
    <t>hasNodeManholeWidth</t>
  </si>
  <si>
    <t>hasNodeCoverShape</t>
  </si>
  <si>
    <t>hasNodeCoverMaterial</t>
  </si>
  <si>
    <t>hasNodeCoverWidth</t>
  </si>
  <si>
    <t>hasNodeCoverLength</t>
  </si>
  <si>
    <t>isNodeCoverBolted</t>
  </si>
  <si>
    <t>hasNodeChannelShape</t>
  </si>
  <si>
    <t>hasNodeChannelMaterial</t>
  </si>
  <si>
    <t>hasNodeChannelWidth</t>
  </si>
  <si>
    <t>hasNodeChannelLength</t>
  </si>
  <si>
    <t>hasNodeBenchMaterial</t>
  </si>
  <si>
    <t>hasNodeInternalProtection</t>
  </si>
  <si>
    <t>hasNodeInternalProtectionMaterial</t>
  </si>
  <si>
    <t>hasNodeClimbingAid</t>
  </si>
  <si>
    <t>hasNodeNumberOfClimbingIrons</t>
  </si>
  <si>
    <t>hasNodeClimbingAidMaterial</t>
  </si>
  <si>
    <t>hasNodeMeasurementTechnology</t>
  </si>
  <si>
    <t>hasPipeSectionInspectionDirection</t>
  </si>
  <si>
    <t>hasPipeSectionInspectionReferencePointStart</t>
  </si>
  <si>
    <t>hasNodeInspectionVerticalReferencePoint</t>
  </si>
  <si>
    <t>hasNodeInspectionCircumferentialReferencePoint</t>
  </si>
  <si>
    <t>hasNodeInspectionDigitalPhotoName</t>
  </si>
  <si>
    <t>hasNodeInspectionOperationalSafety</t>
  </si>
  <si>
    <t>hasNodeInspectionCorrectCone</t>
  </si>
  <si>
    <t>hasNodeInspectionAmbientAir</t>
  </si>
  <si>
    <t>hasNodeInspectionAmbientPhoto</t>
  </si>
  <si>
    <t>hasPipeSectionConditionStation</t>
  </si>
  <si>
    <t>hasPipeSectionConditionLining</t>
  </si>
  <si>
    <t>hasPipeSectionConditionLocalizedRepair</t>
  </si>
  <si>
    <t>hasNodeConditionDepth</t>
  </si>
  <si>
    <t>hasNodeConditionManholeArea</t>
  </si>
  <si>
    <t>hasNodeConditionLocalizedRepair</t>
  </si>
  <si>
    <t>hasMeasurementUnit</t>
  </si>
  <si>
    <t>Depth (Condition)</t>
  </si>
  <si>
    <t>Reference Table 001</t>
  </si>
  <si>
    <t>Reference Table 002</t>
  </si>
  <si>
    <t>Reference Table 003</t>
  </si>
  <si>
    <t>Reference Table 004</t>
  </si>
  <si>
    <t>Reference Table 005</t>
  </si>
  <si>
    <t>Reference Table 006</t>
  </si>
  <si>
    <t>Reference Table 103</t>
  </si>
  <si>
    <t>Reference Table 104</t>
  </si>
  <si>
    <t>Reference Table 105</t>
  </si>
  <si>
    <t>Reference Table 116</t>
  </si>
  <si>
    <t>Reference Table 117</t>
  </si>
  <si>
    <t>Reference Table 118</t>
  </si>
  <si>
    <t>Reference Table 119</t>
  </si>
  <si>
    <t>Reference Table 120</t>
  </si>
  <si>
    <t>Reference Table 121</t>
  </si>
  <si>
    <t>Reference Table 122</t>
  </si>
  <si>
    <t>Reference Table 123</t>
  </si>
  <si>
    <t>Reference Table 109</t>
  </si>
  <si>
    <t>Reference Table 110</t>
  </si>
  <si>
    <t>Reference Table 111</t>
  </si>
  <si>
    <t>Reference Table 112</t>
  </si>
  <si>
    <t>Reference Table 113</t>
  </si>
  <si>
    <t>Reference Table 114</t>
  </si>
  <si>
    <t>Reference Table 115</t>
  </si>
  <si>
    <t>Reference Table 125</t>
  </si>
  <si>
    <t>Reference Table 126</t>
  </si>
  <si>
    <t>Reference Table 124</t>
  </si>
  <si>
    <t>Reference Table 201</t>
  </si>
  <si>
    <t>Reference Table 202</t>
  </si>
  <si>
    <t>Reference Table 215</t>
  </si>
  <si>
    <t>Reference Table 210</t>
  </si>
  <si>
    <t>Reference Table 211</t>
  </si>
  <si>
    <t>Reference Table 203</t>
  </si>
  <si>
    <t>Reference Table 204</t>
  </si>
  <si>
    <t>Reference Table 205</t>
  </si>
  <si>
    <t>Reference Table 206</t>
  </si>
  <si>
    <t>Reference Table 207</t>
  </si>
  <si>
    <t>Reference Table 208</t>
  </si>
  <si>
    <t>Reference Table 212</t>
  </si>
  <si>
    <t>Reference Table 209</t>
  </si>
  <si>
    <t>Reference Table 214</t>
  </si>
  <si>
    <t>Pipe Section Designation</t>
  </si>
  <si>
    <t>Alternative Pipe Section Designation</t>
  </si>
  <si>
    <t>Reference Table Data</t>
  </si>
  <si>
    <t>Format Data</t>
  </si>
  <si>
    <t>Reference Table</t>
  </si>
  <si>
    <t>Reference Table Code</t>
  </si>
  <si>
    <t>Reference Table Short Text</t>
  </si>
  <si>
    <t>Reference Table Long Text</t>
  </si>
  <si>
    <t>Version Number</t>
  </si>
  <si>
    <t>Format Type (A, B, D, Z)</t>
  </si>
  <si>
    <t>hasReferenceTable</t>
  </si>
  <si>
    <t>hasReferenceTableCode</t>
  </si>
  <si>
    <t>hasReferenceTableShortText</t>
  </si>
  <si>
    <t>hasReferenceTableLongText</t>
  </si>
  <si>
    <t>hasReferenceTableData</t>
  </si>
  <si>
    <t>Asbestzement</t>
  </si>
  <si>
    <t>Asbestos Cement</t>
  </si>
  <si>
    <t>AsbestosCement</t>
  </si>
  <si>
    <t>B</t>
  </si>
  <si>
    <t>Beton</t>
  </si>
  <si>
    <t>Concrete</t>
  </si>
  <si>
    <t>BIT</t>
  </si>
  <si>
    <t>Bitumen</t>
  </si>
  <si>
    <t>BS</t>
  </si>
  <si>
    <t>Betonsegmente</t>
  </si>
  <si>
    <t>Concrete Segments</t>
  </si>
  <si>
    <t>ConcreteSegment</t>
  </si>
  <si>
    <t>BSK</t>
  </si>
  <si>
    <t>Betonsegmente kunststoffmodifiziert</t>
  </si>
  <si>
    <t>Plastic-Modified Concrete Segments</t>
  </si>
  <si>
    <t>PlasticModifiedConcreteSegment</t>
  </si>
  <si>
    <t>BT</t>
  </si>
  <si>
    <t>CN</t>
  </si>
  <si>
    <t>Edelstahl</t>
  </si>
  <si>
    <t>Stainless Steel</t>
  </si>
  <si>
    <t>StainlessSteel</t>
  </si>
  <si>
    <t>EIS</t>
  </si>
  <si>
    <t>Nichtidentifiziertes Metall (z. B. Eisen und Stahl)</t>
  </si>
  <si>
    <t>Unidentified Metal (e.g., Iron and Steel)</t>
  </si>
  <si>
    <t>UnidentifiedMetal</t>
  </si>
  <si>
    <t>EPX</t>
  </si>
  <si>
    <t>Epoxydharz</t>
  </si>
  <si>
    <t>Epoxy Resin</t>
  </si>
  <si>
    <t>EpoxyResin</t>
  </si>
  <si>
    <t>EPSF</t>
  </si>
  <si>
    <t>Epoxydharz mit Synthesefaser</t>
  </si>
  <si>
    <t>Epoxy Resin with Synthetic Fiber</t>
  </si>
  <si>
    <t>EpoxyResinWithSyntheticFiber</t>
  </si>
  <si>
    <t>FZ</t>
  </si>
  <si>
    <t>Faserzement</t>
  </si>
  <si>
    <t>Fiber Cement</t>
  </si>
  <si>
    <t>FiberCement</t>
  </si>
  <si>
    <t>GFK</t>
  </si>
  <si>
    <t>Glasfaserverstärkter Kunststoff</t>
  </si>
  <si>
    <t>Glass Fiber Reinforced Plastic</t>
  </si>
  <si>
    <t>GlassFiberReinforcedPlastic</t>
  </si>
  <si>
    <t>Grauguß</t>
  </si>
  <si>
    <t>Gray Cast Iron</t>
  </si>
  <si>
    <t>GrayCastIron</t>
  </si>
  <si>
    <t>Duktiles Gußeisen</t>
  </si>
  <si>
    <t>Ductile Cast Iron</t>
  </si>
  <si>
    <t>DuctileCastIron</t>
  </si>
  <si>
    <t>KST</t>
  </si>
  <si>
    <t>Nichtidentifizierter Kunststoff</t>
  </si>
  <si>
    <t>Unidentified Plastic</t>
  </si>
  <si>
    <t>UnidentifiedPlastic</t>
  </si>
  <si>
    <t>MA</t>
  </si>
  <si>
    <t>Mauerwerk</t>
  </si>
  <si>
    <t>Masonry</t>
  </si>
  <si>
    <t>OB</t>
  </si>
  <si>
    <t>Ortbeton</t>
  </si>
  <si>
    <t>In-Situ Concrete</t>
  </si>
  <si>
    <t>InSituConcrete</t>
  </si>
  <si>
    <t>PC</t>
  </si>
  <si>
    <t>Polymerbeton</t>
  </si>
  <si>
    <t>Polymer Concrete</t>
  </si>
  <si>
    <t>PolymerConcrete</t>
  </si>
  <si>
    <t>PCC</t>
  </si>
  <si>
    <t>Polymermodifizierter Zementbeton</t>
  </si>
  <si>
    <t>Polymer-Modified Cement Concrete</t>
  </si>
  <si>
    <t>PolymerModifiedCementConcrete</t>
  </si>
  <si>
    <t>PE</t>
  </si>
  <si>
    <t>Polyethylen</t>
  </si>
  <si>
    <t>Polyethylene</t>
  </si>
  <si>
    <t>PH</t>
  </si>
  <si>
    <t>Polyesterharz</t>
  </si>
  <si>
    <t>Polyester Resin</t>
  </si>
  <si>
    <t>PolyesterResin</t>
  </si>
  <si>
    <t>PHB</t>
  </si>
  <si>
    <t>Polyesterharzbeton</t>
  </si>
  <si>
    <t>Polyester Resin Concrete</t>
  </si>
  <si>
    <t>PolyesterResinConcrete</t>
  </si>
  <si>
    <t>PP</t>
  </si>
  <si>
    <t>Polypropylen</t>
  </si>
  <si>
    <t>Polypropylene</t>
  </si>
  <si>
    <t>PUR</t>
  </si>
  <si>
    <t>Polyurethanharz</t>
  </si>
  <si>
    <t>Polyurethane Resin</t>
  </si>
  <si>
    <t>PolyurethaneResin</t>
  </si>
  <si>
    <t>PVCM</t>
  </si>
  <si>
    <t>Polyvinylchlorid modifiziert</t>
  </si>
  <si>
    <t>Modified Polyvinyl Chloride</t>
  </si>
  <si>
    <t>ModifiedPolyvinylChloride</t>
  </si>
  <si>
    <t>PVCU</t>
  </si>
  <si>
    <t>Polyvinylchlorid hart</t>
  </si>
  <si>
    <t>Rigid Polyvinyl Chloride</t>
  </si>
  <si>
    <t>RigidPolyvinylChloride</t>
  </si>
  <si>
    <t>SFB</t>
  </si>
  <si>
    <t>Stahlfaserbeton</t>
  </si>
  <si>
    <t>Steel Fiber Concrete</t>
  </si>
  <si>
    <t>SteelFiberConcrete</t>
  </si>
  <si>
    <t>SPB</t>
  </si>
  <si>
    <t>Spannbeton</t>
  </si>
  <si>
    <t>Prestressed Concrete</t>
  </si>
  <si>
    <t>PrestressedConcrete</t>
  </si>
  <si>
    <t>SB</t>
  </si>
  <si>
    <t>Stahlbeton</t>
  </si>
  <si>
    <t>Reinforced Concrete</t>
  </si>
  <si>
    <t>ReinforcedConcrete</t>
  </si>
  <si>
    <t>Stahl</t>
  </si>
  <si>
    <t>Steel</t>
  </si>
  <si>
    <t>STZ</t>
  </si>
  <si>
    <t>Steinzeug</t>
  </si>
  <si>
    <t>Stoneware</t>
  </si>
  <si>
    <t>SZB</t>
  </si>
  <si>
    <t>Spritzbeton</t>
  </si>
  <si>
    <t>Shotcrete</t>
  </si>
  <si>
    <t>SZBK</t>
  </si>
  <si>
    <t>Spritzbeton kunststoffmodifiziert</t>
  </si>
  <si>
    <t>Plastic-Modified Shotcrete</t>
  </si>
  <si>
    <t>PlasticModifiedShotcrete</t>
  </si>
  <si>
    <t>TF</t>
  </si>
  <si>
    <t>Teerfaser</t>
  </si>
  <si>
    <t>Tar Fiber</t>
  </si>
  <si>
    <t>TarFiber</t>
  </si>
  <si>
    <t>UPGF</t>
  </si>
  <si>
    <t>Ungesättigtes Polyesterharz mit Glasfaser</t>
  </si>
  <si>
    <t>Unsaturated Polyester Resin with Glass Fiber</t>
  </si>
  <si>
    <t>UnsaturatedPolyesterResinWithGlassFiber</t>
  </si>
  <si>
    <t>UPSF</t>
  </si>
  <si>
    <t>Ungesättigtes Polyesterharz mit Synthesefaser</t>
  </si>
  <si>
    <t>Unsaturated Polyester Resin with Synthetic Fiber</t>
  </si>
  <si>
    <t>UnsaturatedPolyesterResinWithSyntheticFiber</t>
  </si>
  <si>
    <t>VEGF</t>
  </si>
  <si>
    <t>Vinylesterharz mit Glasfaser</t>
  </si>
  <si>
    <t>Vinyl Ester Resin with Glass Fiber</t>
  </si>
  <si>
    <t>VinylEsterResinWithGlassFiber</t>
  </si>
  <si>
    <t>VESF</t>
  </si>
  <si>
    <t>Vinylesterharz mit Synthesefaser</t>
  </si>
  <si>
    <t>Vinyl Ester Resin with Synthetic Fiber</t>
  </si>
  <si>
    <t>VinylEsterResinWithSyntheticFiber</t>
  </si>
  <si>
    <t>VBK</t>
  </si>
  <si>
    <t>Verbundrohr Beton-/StahlbetonKunststoff</t>
  </si>
  <si>
    <t>Composite Pipe Concrete/Reinforced Concrete-Plastic</t>
  </si>
  <si>
    <t>CompositeConcretePlasticPipe</t>
  </si>
  <si>
    <t>VBS</t>
  </si>
  <si>
    <t>Verbundrohr Beton-/StahlbetonSteinzeug</t>
  </si>
  <si>
    <t>Composite Pipe Concrete/Reinforced Concrete-Stoneware</t>
  </si>
  <si>
    <t>CompositeConcreteStonewarePipe</t>
  </si>
  <si>
    <t>W</t>
  </si>
  <si>
    <t>Nichtidentifizierter Werkstoff</t>
  </si>
  <si>
    <t>Unidentified Material</t>
  </si>
  <si>
    <t>UnidentifiedMaterial</t>
  </si>
  <si>
    <t>WPE</t>
  </si>
  <si>
    <t>Wickelrohr (PEHD)</t>
  </si>
  <si>
    <t>Spiral-Wound Pipe (HDPE)</t>
  </si>
  <si>
    <t>SpiralWoundHDPEPipe</t>
  </si>
  <si>
    <t>WPVC</t>
  </si>
  <si>
    <t>Wickelrohr (PVCU)</t>
  </si>
  <si>
    <t>Spiral-Wound Pipe (Rigid PVC)</t>
  </si>
  <si>
    <t>SpiralWoundRigidPVCPipe</t>
  </si>
  <si>
    <t>Z</t>
  </si>
  <si>
    <t>Sonstiger Werkstoff</t>
  </si>
  <si>
    <t>Other Material</t>
  </si>
  <si>
    <t>OtherMaterial</t>
  </si>
  <si>
    <t>ZM</t>
  </si>
  <si>
    <t>Zementmörtel</t>
  </si>
  <si>
    <t>Cement Mortar</t>
  </si>
  <si>
    <t>CementMortar</t>
  </si>
  <si>
    <t>ZG</t>
  </si>
  <si>
    <t>Ziegelwerk</t>
  </si>
  <si>
    <t>Brickwork</t>
  </si>
  <si>
    <t>**101 Lagegenauigkeit (Position Accuracy)**</t>
  </si>
  <si>
    <t>D</t>
  </si>
  <si>
    <t>Digitalisiert</t>
  </si>
  <si>
    <t>Digitized</t>
  </si>
  <si>
    <t>DigitizedPosition</t>
  </si>
  <si>
    <t>G</t>
  </si>
  <si>
    <t>Geschätzt</t>
  </si>
  <si>
    <t>Estimated</t>
  </si>
  <si>
    <t>EstimatedPosition</t>
  </si>
  <si>
    <t>V</t>
  </si>
  <si>
    <t>Vermessen</t>
  </si>
  <si>
    <t>Surveyed</t>
  </si>
  <si>
    <t>SurveyedPosition</t>
  </si>
  <si>
    <t>**102 Höhengenauigkeit (Elevation Accuracy)**</t>
  </si>
  <si>
    <t>Berechnet</t>
  </si>
  <si>
    <t>Calculated</t>
  </si>
  <si>
    <t>CalculatedElevation</t>
  </si>
  <si>
    <t>EstimatedElevation</t>
  </si>
  <si>
    <t>SurveyedElevation</t>
  </si>
  <si>
    <t>**103 Kanalart (Sewer Type)**</t>
  </si>
  <si>
    <t>F</t>
  </si>
  <si>
    <t>Offene Freispiegelleitung (Gerinne)</t>
  </si>
  <si>
    <t>Open Gravity Flow Channel</t>
  </si>
  <si>
    <t>OpenGravityFlowChannel</t>
  </si>
  <si>
    <t>Druckrohrleitung</t>
  </si>
  <si>
    <t>Pressure Pipeline</t>
  </si>
  <si>
    <t>PressurePipeline</t>
  </si>
  <si>
    <t>Dränageleitung</t>
  </si>
  <si>
    <t>Drainage Pipeline</t>
  </si>
  <si>
    <t>DrainagePipeline</t>
  </si>
  <si>
    <t>K</t>
  </si>
  <si>
    <t>Geschlossene Freispiegelleitung</t>
  </si>
  <si>
    <t>Closed Gravity Flow Pipeline</t>
  </si>
  <si>
    <t>ClosedGravityFlowPipeline</t>
  </si>
  <si>
    <t>**104 Kanalnutzung (Sewer Usage)**</t>
  </si>
  <si>
    <t>Bach (Gewässer)</t>
  </si>
  <si>
    <t>Stream (Watercourse)</t>
  </si>
  <si>
    <t>Stream</t>
  </si>
  <si>
    <t>Mischwasser</t>
  </si>
  <si>
    <t>Combined Sewer (Wastewater and Stormwater)</t>
  </si>
  <si>
    <t>CombinedSewer</t>
  </si>
  <si>
    <t>R</t>
  </si>
  <si>
    <t>Regenwasser</t>
  </si>
  <si>
    <t>Stormwater</t>
  </si>
  <si>
    <t>S</t>
  </si>
  <si>
    <t>Schmutzwasser</t>
  </si>
  <si>
    <t>Wastewater</t>
  </si>
  <si>
    <t>Sondernutzung</t>
  </si>
  <si>
    <t>Special Usage</t>
  </si>
  <si>
    <t>SpecialUsage</t>
  </si>
  <si>
    <t>**106 Profilart (Profile Type)**</t>
  </si>
  <si>
    <t>BO</t>
  </si>
  <si>
    <t>Bogenförmig (kreisförmiger Scheitel und flache Sohle bei parallelen Wänden), Haubenquerschnitt</t>
  </si>
  <si>
    <t>Arched (Circular Crown and Flat Base with Parallel Walls), Hood Profile</t>
  </si>
  <si>
    <t>ArchedHoodProfile</t>
  </si>
  <si>
    <t>DN</t>
  </si>
  <si>
    <t>Kreisförmig, Kreisquerschnitt</t>
  </si>
  <si>
    <t>Circular, Circular Profile</t>
  </si>
  <si>
    <t>CircularProfile</t>
  </si>
  <si>
    <t>EI</t>
  </si>
  <si>
    <t>Eiförmig, Eiquerschnitt</t>
  </si>
  <si>
    <t>Egg-Shaped, Egg Profile</t>
  </si>
  <si>
    <t>EggProfile</t>
  </si>
  <si>
    <t>GR</t>
  </si>
  <si>
    <t>Offener Graben</t>
  </si>
  <si>
    <t>Open Ditch</t>
  </si>
  <si>
    <t>OpenDitch</t>
  </si>
  <si>
    <t>Maulquerschnitt</t>
  </si>
  <si>
    <t>Mouth-Shaped Profile</t>
  </si>
  <si>
    <t>MouthProfile</t>
  </si>
  <si>
    <t>OV</t>
  </si>
  <si>
    <t>Oval (kreisförmige Sohle und Scheitel bei parallelen Wänden)</t>
  </si>
  <si>
    <t>Oval (Circular Base and Crown with Parallel Walls)</t>
  </si>
  <si>
    <t>OvalProfile</t>
  </si>
  <si>
    <t>RE</t>
  </si>
  <si>
    <t>Rechteckig, Rechteckquerschnitt</t>
  </si>
  <si>
    <t>Rectangular, Rectangular Profile</t>
  </si>
  <si>
    <t>RectangularProfile</t>
  </si>
  <si>
    <t>RI</t>
  </si>
  <si>
    <t>Rinnenquerschnitt</t>
  </si>
  <si>
    <t>Channel Profile</t>
  </si>
  <si>
    <t>ChannelProfile</t>
  </si>
  <si>
    <t>U</t>
  </si>
  <si>
    <t>U-förmig</t>
  </si>
  <si>
    <t>U-Shaped</t>
  </si>
  <si>
    <t>UShapedProfile</t>
  </si>
  <si>
    <t>Sonstige Profilart</t>
  </si>
  <si>
    <t>Other Profile Type</t>
  </si>
  <si>
    <t>OtherProfile</t>
  </si>
  <si>
    <t>**107 Profilauskleidung (Profile Lining)**</t>
  </si>
  <si>
    <t>A</t>
  </si>
  <si>
    <t>Beschichtung werkseitig</t>
  </si>
  <si>
    <t>Factory Coating</t>
  </si>
  <si>
    <t>FactoryCoating</t>
  </si>
  <si>
    <t>Auskleidung werkseitig</t>
  </si>
  <si>
    <t>Factory Lining</t>
  </si>
  <si>
    <t>FactoryLining</t>
  </si>
  <si>
    <t>C</t>
  </si>
  <si>
    <t>Schlauchliner</t>
  </si>
  <si>
    <t>Hose Liner</t>
  </si>
  <si>
    <t>HoseLiner</t>
  </si>
  <si>
    <t>Close-Fit Liner</t>
  </si>
  <si>
    <t>CloseFitLiner</t>
  </si>
  <si>
    <t>E</t>
  </si>
  <si>
    <t>Liner mit Ringraumverfüllung</t>
  </si>
  <si>
    <t>Liner with Annular Space Filling</t>
  </si>
  <si>
    <t>LinerWithAnnularSpaceFilling</t>
  </si>
  <si>
    <t>Teil-/Vollauskleidung vor Ort</t>
  </si>
  <si>
    <t>On-Site Partial/Full Lining</t>
  </si>
  <si>
    <t>OnSiteLining</t>
  </si>
  <si>
    <t>Teil-/Vollbeschichtung vor Ort</t>
  </si>
  <si>
    <t>On-Site Partial/Full Coating</t>
  </si>
  <si>
    <t>OnSiteCoating</t>
  </si>
  <si>
    <t>Sonstige Auskleidung</t>
  </si>
  <si>
    <t>Other Lining</t>
  </si>
  <si>
    <t>OtherLining</t>
  </si>
  <si>
    <t>Kanal</t>
  </si>
  <si>
    <t>Sewer</t>
  </si>
  <si>
    <t>Anschlussleitung</t>
  </si>
  <si>
    <t>Connection Pipe</t>
  </si>
  <si>
    <t>ConnectionPipe</t>
  </si>
  <si>
    <t>Entlastungsleitung</t>
  </si>
  <si>
    <t>Relief Pipe</t>
  </si>
  <si>
    <t>ReliefPipe</t>
  </si>
  <si>
    <t>Sonstige</t>
  </si>
  <si>
    <t>Other</t>
  </si>
  <si>
    <t>OtherSection</t>
  </si>
  <si>
    <t>**109 Funktionszustand (Operational Status)**</t>
  </si>
  <si>
    <t>In Betrieb</t>
  </si>
  <si>
    <t>In Operation</t>
  </si>
  <si>
    <t>InOperation</t>
  </si>
  <si>
    <t>N</t>
  </si>
  <si>
    <t>Nicht in Betrieb</t>
  </si>
  <si>
    <t>Not in Operation</t>
  </si>
  <si>
    <t>NotInOperation</t>
  </si>
  <si>
    <t>P</t>
  </si>
  <si>
    <t>Geplant</t>
  </si>
  <si>
    <t>Planned</t>
  </si>
  <si>
    <t>Verschlossen</t>
  </si>
  <si>
    <t>Sealed</t>
  </si>
  <si>
    <t>OtherOperationalStatus</t>
  </si>
  <si>
    <t>**110 Eigentum (Ownership)**</t>
  </si>
  <si>
    <t>Abwasserverband</t>
  </si>
  <si>
    <t>Wastewater Association</t>
  </si>
  <si>
    <t>WastewaterAssociation</t>
  </si>
  <si>
    <t>Gemeinde</t>
  </si>
  <si>
    <t>Municipality</t>
  </si>
  <si>
    <t>Privat</t>
  </si>
  <si>
    <t>Private</t>
  </si>
  <si>
    <t>PrivateOwnership</t>
  </si>
  <si>
    <t>Stadt</t>
  </si>
  <si>
    <t>City</t>
  </si>
  <si>
    <t>OtherOwnership</t>
  </si>
  <si>
    <t>**111 Wasserschutzzone (Water Protection Zone)**</t>
  </si>
  <si>
    <t>Keine Wasserschutzzone</t>
  </si>
  <si>
    <t>No Water Protection Zone</t>
  </si>
  <si>
    <t>NoWaterProtectionZone</t>
  </si>
  <si>
    <t>I</t>
  </si>
  <si>
    <t>Wasserschutzzone I</t>
  </si>
  <si>
    <t>Water Protection Zone I</t>
  </si>
  <si>
    <t>WaterProtectionZoneI</t>
  </si>
  <si>
    <t>II</t>
  </si>
  <si>
    <t>Wasserschutzzone II</t>
  </si>
  <si>
    <t>Water Protection Zone II</t>
  </si>
  <si>
    <t>WaterProtectionZoneII</t>
  </si>
  <si>
    <t>III</t>
  </si>
  <si>
    <t>Wasserschutzzone III</t>
  </si>
  <si>
    <t>Water Protection Zone III</t>
  </si>
  <si>
    <t>WaterProtectionZoneIII</t>
  </si>
  <si>
    <t>IIIa</t>
  </si>
  <si>
    <t>Wasserschutzzone IIIa</t>
  </si>
  <si>
    <t>Water Protection Zone IIIa</t>
  </si>
  <si>
    <t>WaterProtectionZoneIIIa</t>
  </si>
  <si>
    <t>IIIb</t>
  </si>
  <si>
    <t>Wasserschutzzone IIIb</t>
  </si>
  <si>
    <t>Water Protection Zone IIIb</t>
  </si>
  <si>
    <t>WaterProtectionZoneIIIb</t>
  </si>
  <si>
    <t>T</t>
  </si>
  <si>
    <t>Trinkwasserschutzzone</t>
  </si>
  <si>
    <t>Drinking Water Protection Zone</t>
  </si>
  <si>
    <t>DrinkingWaterProtectionZone</t>
  </si>
  <si>
    <t>Th</t>
  </si>
  <si>
    <t>Thermal- und Heilquellenschutzzone</t>
  </si>
  <si>
    <t>Thermal and Medicinal Spring Protection Zone</t>
  </si>
  <si>
    <t>ThermalSpringProtectionZone</t>
  </si>
  <si>
    <t>OtherWaterProtectionZone</t>
  </si>
  <si>
    <t>**112 Lage im Verkehrsraum (Location in Traffic Area)**</t>
  </si>
  <si>
    <t>Unbekannt</t>
  </si>
  <si>
    <t>Unknown</t>
  </si>
  <si>
    <t>UnknownLocation</t>
  </si>
  <si>
    <t>Acker</t>
  </si>
  <si>
    <t>Field</t>
  </si>
  <si>
    <t>BA</t>
  </si>
  <si>
    <t>Baustraße</t>
  </si>
  <si>
    <t>Construction Road</t>
  </si>
  <si>
    <t>ConstructionRoad</t>
  </si>
  <si>
    <t>BG</t>
  </si>
  <si>
    <t>Bebautes Grundstück</t>
  </si>
  <si>
    <t>Built-Up Plot</t>
  </si>
  <si>
    <t>BuiltUpPlot</t>
  </si>
  <si>
    <t>Böschung</t>
  </si>
  <si>
    <t>Embankment</t>
  </si>
  <si>
    <t>Fahrbahn</t>
  </si>
  <si>
    <t>Roadway</t>
  </si>
  <si>
    <t>GL</t>
  </si>
  <si>
    <t>Gleisanlage</t>
  </si>
  <si>
    <t>Railway Track</t>
  </si>
  <si>
    <t>RailwayTrack</t>
  </si>
  <si>
    <t>GS</t>
  </si>
  <si>
    <t>Grünstreifen</t>
  </si>
  <si>
    <t>Green Strip</t>
  </si>
  <si>
    <t>GreenStrip</t>
  </si>
  <si>
    <t>GW</t>
  </si>
  <si>
    <t>Gehweg</t>
  </si>
  <si>
    <t>Sidewalk</t>
  </si>
  <si>
    <t>Parkplatz</t>
  </si>
  <si>
    <t>Parking Lot</t>
  </si>
  <si>
    <t>ParkingLot</t>
  </si>
  <si>
    <t>PS</t>
  </si>
  <si>
    <t>Parkstreifen</t>
  </si>
  <si>
    <t>Parking Strip</t>
  </si>
  <si>
    <t>ParkingStrip</t>
  </si>
  <si>
    <t>PW</t>
  </si>
  <si>
    <t>Privatweg</t>
  </si>
  <si>
    <t>Private Path</t>
  </si>
  <si>
    <t>PrivatePath</t>
  </si>
  <si>
    <t>RW</t>
  </si>
  <si>
    <t>Radweg</t>
  </si>
  <si>
    <t>Bike Path</t>
  </si>
  <si>
    <t>BikePath</t>
  </si>
  <si>
    <t>Wiese</t>
  </si>
  <si>
    <t>Meadow</t>
  </si>
  <si>
    <t>Wb</t>
  </si>
  <si>
    <t>Wirtschaftsweg befestigt</t>
  </si>
  <si>
    <t>Paved Access Road</t>
  </si>
  <si>
    <t>PavedAccessRoad</t>
  </si>
  <si>
    <t>Wu</t>
  </si>
  <si>
    <t>Wirtschaftsweg unbefestigt</t>
  </si>
  <si>
    <t>Unpaved Access Road</t>
  </si>
  <si>
    <t>UnpavedAccessRoad</t>
  </si>
  <si>
    <t>OtherTrafficAreaLocation</t>
  </si>
  <si>
    <t>**113 Grundwasser (Groundwater)**</t>
  </si>
  <si>
    <t>Außerhalb des Grundwassers</t>
  </si>
  <si>
    <t>Outside Groundwater</t>
  </si>
  <si>
    <t>OutsideGroundwater</t>
  </si>
  <si>
    <t>Innerhalb des Grundwassers</t>
  </si>
  <si>
    <t>Within Groundwater</t>
  </si>
  <si>
    <t>WithinGroundwater</t>
  </si>
  <si>
    <t>Wechselzone</t>
  </si>
  <si>
    <t>Transition Zone</t>
  </si>
  <si>
    <t>GroundwaterTransitionZone</t>
  </si>
  <si>
    <t>**114 Überschwemmungsgebiet (Flood Area)**</t>
  </si>
  <si>
    <t>J</t>
  </si>
  <si>
    <t>Im Überschwemmungsgebiet</t>
  </si>
  <si>
    <t>Within Flood Area</t>
  </si>
  <si>
    <t>WithinFloodArea</t>
  </si>
  <si>
    <t>Nicht im Überschwemmungsgebiet</t>
  </si>
  <si>
    <t>Not Within Flood Area</t>
  </si>
  <si>
    <t>NotWithinFloodArea</t>
  </si>
  <si>
    <t>**115 Status Daten (Data Status)**</t>
  </si>
  <si>
    <t>Bestandsdokumentation</t>
  </si>
  <si>
    <t>Inventory Documentation</t>
  </si>
  <si>
    <t>InventoryDocumentation</t>
  </si>
  <si>
    <t>Aus Kanalinspektion</t>
  </si>
  <si>
    <t>From Sewer Inspection</t>
  </si>
  <si>
    <t>SewerInspectionData</t>
  </si>
  <si>
    <t>Vermessung vor Ort</t>
  </si>
  <si>
    <t>On-Site Survey</t>
  </si>
  <si>
    <t>OnSiteSurveyData</t>
  </si>
  <si>
    <t>**116 Knotenart (Node Type)**</t>
  </si>
  <si>
    <t>Auslass</t>
  </si>
  <si>
    <t>Outlet</t>
  </si>
  <si>
    <t>Bauwerk</t>
  </si>
  <si>
    <t>Structure</t>
  </si>
  <si>
    <t>Straßenablauf</t>
  </si>
  <si>
    <t>Street Drain</t>
  </si>
  <si>
    <t>StreetDrain</t>
  </si>
  <si>
    <t>Fiktiver Schacht</t>
  </si>
  <si>
    <t>Fictitious Manhole</t>
  </si>
  <si>
    <t>FictitiousManhole</t>
  </si>
  <si>
    <t>Gebäudeanschluss</t>
  </si>
  <si>
    <t>Building Connection</t>
  </si>
  <si>
    <t>BuildingConnection</t>
  </si>
  <si>
    <t>Inspektionsöffnung</t>
  </si>
  <si>
    <t>Inspection Opening</t>
  </si>
  <si>
    <t>InspectionOpening</t>
  </si>
  <si>
    <t>L</t>
  </si>
  <si>
    <t>Lampenschacht</t>
  </si>
  <si>
    <t>Light Pole Manhole</t>
  </si>
  <si>
    <t>LightPoleManhole</t>
  </si>
  <si>
    <t>Reinigungsöffnung</t>
  </si>
  <si>
    <t>Cleaning Opening</t>
  </si>
  <si>
    <t>CleaningOpening</t>
  </si>
  <si>
    <t>Schacht</t>
  </si>
  <si>
    <t>Manhole</t>
  </si>
  <si>
    <t>Sanitärgegenstand (z. B. Waschbecken)</t>
  </si>
  <si>
    <t>Sanitary Fixture (e.g., Sink)</t>
  </si>
  <si>
    <t>SanitaryFixture</t>
  </si>
  <si>
    <t>OtherNode</t>
  </si>
  <si>
    <t>**117 Bauwerksart (Structure Type)**</t>
  </si>
  <si>
    <t>ZABA</t>
  </si>
  <si>
    <t>Absturzbauwerk mit außenliegendem Untersturz</t>
  </si>
  <si>
    <t>Drop Structure with External Undershot</t>
  </si>
  <si>
    <t>DropStructureExternalUndershot</t>
  </si>
  <si>
    <t>ZABI</t>
  </si>
  <si>
    <t>Absturzbauwerk mit innenliegendem Untersturz</t>
  </si>
  <si>
    <t>Drop Structure with Internal Undershot</t>
  </si>
  <si>
    <t>DropStructureInternalUndershot</t>
  </si>
  <si>
    <t>ZABK</t>
  </si>
  <si>
    <t>Absturzbauwerk mit Kaskaden</t>
  </si>
  <si>
    <t>Drop Structure with Cascades</t>
  </si>
  <si>
    <t>DropStructureWithCascades</t>
  </si>
  <si>
    <t>ZABS</t>
  </si>
  <si>
    <t>Absturzbauwerk mit Schussrinne</t>
  </si>
  <si>
    <t>Drop Structure with Chute</t>
  </si>
  <si>
    <t>DropStructureWithChute</t>
  </si>
  <si>
    <t>ZABU</t>
  </si>
  <si>
    <t>Absturzbauwerk mit Untersturz</t>
  </si>
  <si>
    <t>Drop Structure with Undershot</t>
  </si>
  <si>
    <t>DropStructureWithUndershot</t>
  </si>
  <si>
    <t>ZAL</t>
  </si>
  <si>
    <t>Auslaufbauwerk</t>
  </si>
  <si>
    <t>Outfall Structure</t>
  </si>
  <si>
    <t>OutfallStructure</t>
  </si>
  <si>
    <t>ZASA</t>
  </si>
  <si>
    <t>Abscheideranlagen</t>
  </si>
  <si>
    <t>Separator Systems</t>
  </si>
  <si>
    <t>SeparatorSystem</t>
  </si>
  <si>
    <t>ZDUE</t>
  </si>
  <si>
    <t>Düker</t>
  </si>
  <si>
    <t>Siphon</t>
  </si>
  <si>
    <t>ZERD</t>
  </si>
  <si>
    <t>Bauwerk für erdverlegte Abwasserleitungen und -kanäle</t>
  </si>
  <si>
    <t>Structure for Buried Sewers and Pipes</t>
  </si>
  <si>
    <t>BuriedSewerStructure</t>
  </si>
  <si>
    <t>ZEL</t>
  </si>
  <si>
    <t>Einlaufbauwerk</t>
  </si>
  <si>
    <t>Inlet Structure</t>
  </si>
  <si>
    <t>InletStructure</t>
  </si>
  <si>
    <t>ZES</t>
  </si>
  <si>
    <t>Einsteigschacht</t>
  </si>
  <si>
    <t>Access Manhole</t>
  </si>
  <si>
    <t>AccessManhole</t>
  </si>
  <si>
    <t>ZFS</t>
  </si>
  <si>
    <t>Fallschacht</t>
  </si>
  <si>
    <t>Drop Manhole</t>
  </si>
  <si>
    <t>DropManhole</t>
  </si>
  <si>
    <t>ZHEB</t>
  </si>
  <si>
    <t>Heber</t>
  </si>
  <si>
    <t>Lift Station</t>
  </si>
  <si>
    <t>LiftStation</t>
  </si>
  <si>
    <t>ZKB</t>
  </si>
  <si>
    <t>Kurvenbauwerk</t>
  </si>
  <si>
    <t>Curve Structure</t>
  </si>
  <si>
    <t>CurveStructure</t>
  </si>
  <si>
    <t>ZMS</t>
  </si>
  <si>
    <t>Messschächte</t>
  </si>
  <si>
    <t>Measurement Manhole</t>
  </si>
  <si>
    <t>MeasurementManhole</t>
  </si>
  <si>
    <t>ZPW</t>
  </si>
  <si>
    <t>Pumpwerke</t>
  </si>
  <si>
    <t>Pumping Station</t>
  </si>
  <si>
    <t>PumpingStation</t>
  </si>
  <si>
    <t>ZRKB</t>
  </si>
  <si>
    <t>Regenklärbecken</t>
  </si>
  <si>
    <t>Stormwater Treatment Tank</t>
  </si>
  <si>
    <t>StormwaterTreatmentTank</t>
  </si>
  <si>
    <t>ZRRB</t>
  </si>
  <si>
    <t>Regenrückhaltebecken</t>
  </si>
  <si>
    <t>Stormwater Retention Tank</t>
  </si>
  <si>
    <t>StormwaterRetentionTank</t>
  </si>
  <si>
    <t>ZRUB</t>
  </si>
  <si>
    <t>Regenüberlaufbecken</t>
  </si>
  <si>
    <t>Stormwater Overflow Tank</t>
  </si>
  <si>
    <t>StormwaterOverflowTank</t>
  </si>
  <si>
    <t>ZRUE</t>
  </si>
  <si>
    <t>Regenüberlauf</t>
  </si>
  <si>
    <t>Stormwater Overflow</t>
  </si>
  <si>
    <t>StormwaterOverflow</t>
  </si>
  <si>
    <t>ZSA</t>
  </si>
  <si>
    <t>ZSB</t>
  </si>
  <si>
    <t>Schieberbauwerk</t>
  </si>
  <si>
    <t>Gate Structure</t>
  </si>
  <si>
    <t>GateStructure</t>
  </si>
  <si>
    <t>ZSS</t>
  </si>
  <si>
    <t>Spülschacht</t>
  </si>
  <si>
    <t>Flushing Manhole</t>
  </si>
  <si>
    <t>FlushingManhole</t>
  </si>
  <si>
    <t>ZVB</t>
  </si>
  <si>
    <t>Verbindungsbauwerk</t>
  </si>
  <si>
    <t>Connection Structure</t>
  </si>
  <si>
    <t>ConnectionStructure</t>
  </si>
  <si>
    <t>ZVT</t>
  </si>
  <si>
    <t>Verteilerwerke</t>
  </si>
  <si>
    <t>Distribution Structure</t>
  </si>
  <si>
    <t>DistributionStructure</t>
  </si>
  <si>
    <t>ZWS</t>
  </si>
  <si>
    <t>Wirbelfallschacht</t>
  </si>
  <si>
    <t>Vortex Drop Manhole</t>
  </si>
  <si>
    <t>VortexDropManhole</t>
  </si>
  <si>
    <t>OtherStructure</t>
  </si>
  <si>
    <t>**118 Form (Shape)**</t>
  </si>
  <si>
    <t>Rechteckig</t>
  </si>
  <si>
    <t>Rectangular</t>
  </si>
  <si>
    <t>RectangularShape</t>
  </si>
  <si>
    <t>Q</t>
  </si>
  <si>
    <t>Quadratisch</t>
  </si>
  <si>
    <t>Square</t>
  </si>
  <si>
    <t>SquareShape</t>
  </si>
  <si>
    <t>Rund</t>
  </si>
  <si>
    <t>Round</t>
  </si>
  <si>
    <t>RoundShape</t>
  </si>
  <si>
    <t>OtherShape</t>
  </si>
  <si>
    <t>**119 Deckelklasse (Cover Class)**</t>
  </si>
  <si>
    <t>Nicht bekannt</t>
  </si>
  <si>
    <t>Not Known</t>
  </si>
  <si>
    <t>UnknownCoverClass</t>
  </si>
  <si>
    <t>Klasse A</t>
  </si>
  <si>
    <t>Class A</t>
  </si>
  <si>
    <t>CoverClassA</t>
  </si>
  <si>
    <t>Klasse B</t>
  </si>
  <si>
    <t>Class B</t>
  </si>
  <si>
    <t>CoverClassB</t>
  </si>
  <si>
    <t>Klasse C</t>
  </si>
  <si>
    <t>Class C</t>
  </si>
  <si>
    <t>CoverClassC</t>
  </si>
  <si>
    <t>Klasse D</t>
  </si>
  <si>
    <t>Class D</t>
  </si>
  <si>
    <t>CoverClassD</t>
  </si>
  <si>
    <t>Klasse E</t>
  </si>
  <si>
    <t>Class E</t>
  </si>
  <si>
    <t>CoverClassE</t>
  </si>
  <si>
    <t>Klasse F</t>
  </si>
  <si>
    <t>Class F</t>
  </si>
  <si>
    <t>CoverClassF</t>
  </si>
  <si>
    <t>OtherCoverClass</t>
  </si>
  <si>
    <t>**120 Innenschutz (Internal Protection)**</t>
  </si>
  <si>
    <t>FactoryCoatingProtection</t>
  </si>
  <si>
    <t>FactoryLiningProtection</t>
  </si>
  <si>
    <t>Teil-/Vollauskleidung Laminattechnik</t>
  </si>
  <si>
    <t>Partial/Full Lining Laminate Technique</t>
  </si>
  <si>
    <t>LaminateLiningProtection</t>
  </si>
  <si>
    <t>Beschichtung vor Ort</t>
  </si>
  <si>
    <t>On-Site Coating</t>
  </si>
  <si>
    <t>OnSiteCoatingProtection</t>
  </si>
  <si>
    <t>OnSiteLiningProtection</t>
  </si>
  <si>
    <t>OtherInternalProtection</t>
  </si>
  <si>
    <t>**121 Steighilfe (Climbing Aid)**</t>
  </si>
  <si>
    <t>MS</t>
  </si>
  <si>
    <t>Mobiles System</t>
  </si>
  <si>
    <t>Mobile System</t>
  </si>
  <si>
    <t>MobileClimbingSystem</t>
  </si>
  <si>
    <t>SE1</t>
  </si>
  <si>
    <t>Steigeisen einläufig</t>
  </si>
  <si>
    <t>Single-Run Climbing Irons</t>
  </si>
  <si>
    <t>SingleRunClimbingIrons</t>
  </si>
  <si>
    <t>SE2</t>
  </si>
  <si>
    <t>Steigeisen zweiläufig</t>
  </si>
  <si>
    <t>Double-Run Climbing Irons</t>
  </si>
  <si>
    <t>DoubleRunClimbingIrons</t>
  </si>
  <si>
    <t>SL</t>
  </si>
  <si>
    <t>Steigleiter</t>
  </si>
  <si>
    <t>Climbing Ladder</t>
  </si>
  <si>
    <t>ClimbingLadder</t>
  </si>
  <si>
    <t>OtherClimbingAid</t>
  </si>
  <si>
    <t>**122 Steighilfenmaterial (Climbing Aid Material)**</t>
  </si>
  <si>
    <t>AL</t>
  </si>
  <si>
    <t>Aluminium</t>
  </si>
  <si>
    <t>Aluminum</t>
  </si>
  <si>
    <t>AluminumClimbingAid</t>
  </si>
  <si>
    <t>StainlessSteelClimbingAid</t>
  </si>
  <si>
    <t>Eisen</t>
  </si>
  <si>
    <t>Iron</t>
  </si>
  <si>
    <t>IronClimbingAid</t>
  </si>
  <si>
    <t>GEIS</t>
  </si>
  <si>
    <t>Galvanisiertes Eisen</t>
  </si>
  <si>
    <t>Galvanized Iron</t>
  </si>
  <si>
    <t>GalvanizedIronClimbingAid</t>
  </si>
  <si>
    <t>KM</t>
  </si>
  <si>
    <t>Kunststoffummanteltes Metall</t>
  </si>
  <si>
    <t>Plastic-Coated Metal</t>
  </si>
  <si>
    <t>PlasticCoatedMetalClimbingAid</t>
  </si>
  <si>
    <t>Kunststoff</t>
  </si>
  <si>
    <t>Plastic</t>
  </si>
  <si>
    <t>PlasticClimbingAid</t>
  </si>
  <si>
    <t>SteelClimbingAid</t>
  </si>
  <si>
    <t>OtherClimbingAidMaterial</t>
  </si>
  <si>
    <t>**123 Messtechnik (Measurement Technology)**</t>
  </si>
  <si>
    <t>Messtechnik vorhanden</t>
  </si>
  <si>
    <t>Measurement Technology Available</t>
  </si>
  <si>
    <t>MeasurementTechnologyAvailable</t>
  </si>
  <si>
    <t>Messtechnik nicht vorhanden</t>
  </si>
  <si>
    <t>Measurement Technology Not Available</t>
  </si>
  <si>
    <t>MeasurementTechnologyNotAvailable</t>
  </si>
  <si>
    <t>Abdeckung und Rahmen</t>
  </si>
  <si>
    <t>Cover and Frame</t>
  </si>
  <si>
    <t>CoverAndFrame</t>
  </si>
  <si>
    <t>Auflagerringe</t>
  </si>
  <si>
    <t>Support Rings</t>
  </si>
  <si>
    <t>SupportRings</t>
  </si>
  <si>
    <t>Schachtaufbau</t>
  </si>
  <si>
    <t>Shaft Structure</t>
  </si>
  <si>
    <t>ShaftStructure</t>
  </si>
  <si>
    <t>Konus</t>
  </si>
  <si>
    <t>Cone</t>
  </si>
  <si>
    <t>Übergangsplatte</t>
  </si>
  <si>
    <t>Transition Plate</t>
  </si>
  <si>
    <t>TransitionPlate</t>
  </si>
  <si>
    <t>Untere Schachtzone</t>
  </si>
  <si>
    <t>Lower Shaft Zone</t>
  </si>
  <si>
    <t>LowerShaftZone</t>
  </si>
  <si>
    <t>Podest</t>
  </si>
  <si>
    <t>Platform</t>
  </si>
  <si>
    <t>H</t>
  </si>
  <si>
    <t>Auftritt</t>
  </si>
  <si>
    <t>Step</t>
  </si>
  <si>
    <t>Gerinne</t>
  </si>
  <si>
    <t>Channel</t>
  </si>
  <si>
    <t>Sohle</t>
  </si>
  <si>
    <t>Base</t>
  </si>
  <si>
    <t>**125 Einstauhäufigkeit (Flooding Frequency)**</t>
  </si>
  <si>
    <t>Keine Angabe</t>
  </si>
  <si>
    <t>No Information</t>
  </si>
  <si>
    <t>NoFloodingInformation</t>
  </si>
  <si>
    <t>Einstauhäufigkeit bei Bemessungsregen nach Arbeitsblatt DWA-A 118 eingehalten</t>
  </si>
  <si>
    <t>Flooding Frequency Compliant with DWA-A 118 Design Rainfall</t>
  </si>
  <si>
    <t>CompliantFloodingFrequency</t>
  </si>
  <si>
    <t>Einstauhäufigkeit bei Bemessungsregen nach Arbeitsblatt DWA-A 118 nicht eingehalten</t>
  </si>
  <si>
    <t>Flooding Frequency Not Compliant with DWA-A 118 Design Rainfall</t>
  </si>
  <si>
    <t>NonCompliantFloodingFrequency</t>
  </si>
  <si>
    <t>**126 Bodengruppe (Soil Group)**</t>
  </si>
  <si>
    <t>NoSoilInformation</t>
  </si>
  <si>
    <t>Bodengruppe 1: nicht bindige Böden</t>
  </si>
  <si>
    <t>Soil Group 1: Non-Cohesive Soils</t>
  </si>
  <si>
    <t>NonCohesiveSoil</t>
  </si>
  <si>
    <t>Bodengruppe 2: schwach bindige Böden</t>
  </si>
  <si>
    <t>Soil Group 2: Slightly Cohesive Soils</t>
  </si>
  <si>
    <t>SlightlyCohesiveSoil</t>
  </si>
  <si>
    <t>Bodengruppe 3: bindige Mischböden</t>
  </si>
  <si>
    <t>Soil Group 3: Cohesive Mixed Soils</t>
  </si>
  <si>
    <t>CohesiveMixedSoil</t>
  </si>
  <si>
    <t>Bodengruppe 4: bindige Böden</t>
  </si>
  <si>
    <t>Soil Group 4: Cohesive Soils</t>
  </si>
  <si>
    <t>CohesiveSoil</t>
  </si>
  <si>
    <t>Lagerungsfall I: Auflager im Boden</t>
  </si>
  <si>
    <t>Support Case I: Support in Soil</t>
  </si>
  <si>
    <t>Lagerungsfall II: festes Auflager (z. B. Beton)</t>
  </si>
  <si>
    <t>Support Case II: Solid Support (e.g., Concrete)</t>
  </si>
  <si>
    <t>Lagerungsfall III: Auflager und Einbettung im Boden</t>
  </si>
  <si>
    <t>Support Case III: Support and Embedment in Soil</t>
  </si>
  <si>
    <t>**128 Objekttyp (Object Type)**</t>
  </si>
  <si>
    <t>Abwasserkanal</t>
  </si>
  <si>
    <t>Sewer Channel</t>
  </si>
  <si>
    <t>SewerChannel</t>
  </si>
  <si>
    <t>Knoten</t>
  </si>
  <si>
    <t>Node</t>
  </si>
  <si>
    <t>Abwasserleitung</t>
  </si>
  <si>
    <t>Sewer Pipe</t>
  </si>
  <si>
    <t>SewerPipe</t>
  </si>
  <si>
    <t>**201 Inspektionsgrund (Inspection Reason)**</t>
  </si>
  <si>
    <t>Abnahme</t>
  </si>
  <si>
    <t>Acceptance</t>
  </si>
  <si>
    <t>AcceptanceInspection</t>
  </si>
  <si>
    <t>Ersterfassung</t>
  </si>
  <si>
    <t>Initial Recording</t>
  </si>
  <si>
    <t>InitialRecordingInspection</t>
  </si>
  <si>
    <t>Gewährleistung</t>
  </si>
  <si>
    <t>Warranty</t>
  </si>
  <si>
    <t>WarrantyInspection</t>
  </si>
  <si>
    <t>Eigenkontrollverordnung</t>
  </si>
  <si>
    <t>Self-Monitoring Ordinance</t>
  </si>
  <si>
    <t>SelfMonitoringInspection</t>
  </si>
  <si>
    <t>Nachuntersuchung</t>
  </si>
  <si>
    <t>Follow-Up Inspection</t>
  </si>
  <si>
    <t>FollowUpInspection</t>
  </si>
  <si>
    <t>Nach Sanierung</t>
  </si>
  <si>
    <t>Post-Rehabilitation</t>
  </si>
  <si>
    <t>PostRehabilitationInspection</t>
  </si>
  <si>
    <t>Vor Sanierung</t>
  </si>
  <si>
    <t>Pre-Rehabilitation</t>
  </si>
  <si>
    <t>PreRehabilitationInspection</t>
  </si>
  <si>
    <t>OtherInspectionReason</t>
  </si>
  <si>
    <t>**202 Kodiersystem (Coding System)**</t>
  </si>
  <si>
    <t>ATVM143</t>
  </si>
  <si>
    <t>Merkblatt ATV-M 143-2</t>
  </si>
  <si>
    <t>Guideline ATV-M 143-2</t>
  </si>
  <si>
    <t>ATVM143CodingSystem</t>
  </si>
  <si>
    <t>DWAM1492:2006</t>
  </si>
  <si>
    <t>Merkblatt DWA-M 149-2 in Verbindung mit DIN EN 13508-2</t>
  </si>
  <si>
    <t>Guideline DWA-M 149-2 with DIN EN 13508-2</t>
  </si>
  <si>
    <t>DWAM1492CodingSystem</t>
  </si>
  <si>
    <t>EN13508</t>
  </si>
  <si>
    <t>EN13508CodingSystem</t>
  </si>
  <si>
    <t>ISYBAU96</t>
  </si>
  <si>
    <t>ISYBAU 1996</t>
  </si>
  <si>
    <t>ISYBAU96CodingSystem</t>
  </si>
  <si>
    <t>ISYBAU01</t>
  </si>
  <si>
    <t>ISYBAU 2001</t>
  </si>
  <si>
    <t>ISYBAU01CodingSystem</t>
  </si>
  <si>
    <t>OtherCodingSystem</t>
  </si>
  <si>
    <t>**203 Inspektionsart (Inspection Type)**</t>
  </si>
  <si>
    <t>Begehung</t>
  </si>
  <si>
    <t>Walk-Through</t>
  </si>
  <si>
    <t>WalkThroughInspection</t>
  </si>
  <si>
    <t>KTV</t>
  </si>
  <si>
    <t>Kamera-Inspektion</t>
  </si>
  <si>
    <t>Camera Inspection</t>
  </si>
  <si>
    <t>CameraInspection</t>
  </si>
  <si>
    <t>SP</t>
  </si>
  <si>
    <t>Spiegelung/von der Oberfläche inspiziert</t>
  </si>
  <si>
    <t>Mirror/Surface Inspection</t>
  </si>
  <si>
    <t>MirrorInspection</t>
  </si>
  <si>
    <t>OtherInspectionType</t>
  </si>
  <si>
    <t>**204 Wetter (Weather)**</t>
  </si>
  <si>
    <t>Frost</t>
  </si>
  <si>
    <t>FrostWeather</t>
  </si>
  <si>
    <t>Regen</t>
  </si>
  <si>
    <t>Rain</t>
  </si>
  <si>
    <t>RainWeather</t>
  </si>
  <si>
    <t>Schnee</t>
  </si>
  <si>
    <t>Snow</t>
  </si>
  <si>
    <t>SnowWeather</t>
  </si>
  <si>
    <t>Trocken</t>
  </si>
  <si>
    <t>Dry</t>
  </si>
  <si>
    <t>DryWeather</t>
  </si>
  <si>
    <t>**205 Reinigung (Cleaning)**</t>
  </si>
  <si>
    <t>Wurde vor Inspektion gereinigt</t>
  </si>
  <si>
    <t>Cleaned Before Inspection</t>
  </si>
  <si>
    <t>CleanedBeforeInspection</t>
  </si>
  <si>
    <t>Wurde vor Inspektion nicht gereinigt</t>
  </si>
  <si>
    <t>Not Cleaned Before Inspection</t>
  </si>
  <si>
    <t>NotCleanedBeforeInspection</t>
  </si>
  <si>
    <t>Untersuchung mit Vorflutsicherung wurde durchgeführt</t>
  </si>
  <si>
    <t>Inspection with Backflow Protection</t>
  </si>
  <si>
    <t>Untersuchung ohne Vorflutsicherung</t>
  </si>
  <si>
    <t>Inspection without Backflow Protection</t>
  </si>
  <si>
    <t>**207 Videospeichermedium (Video Storage Medium)**</t>
  </si>
  <si>
    <t>CD</t>
  </si>
  <si>
    <t>Compact Disk</t>
  </si>
  <si>
    <t>CompactDisk</t>
  </si>
  <si>
    <t>DVD</t>
  </si>
  <si>
    <t>DVD-Medium</t>
  </si>
  <si>
    <t>DVD Medium</t>
  </si>
  <si>
    <t>DVDMedium</t>
  </si>
  <si>
    <t>HD</t>
  </si>
  <si>
    <t>Wechselfestplatte (HardDrive)</t>
  </si>
  <si>
    <t>Removable Hard Drive</t>
  </si>
  <si>
    <t>RemovableHardDrive</t>
  </si>
  <si>
    <t>MOD</t>
  </si>
  <si>
    <t>Magnet-optisches Laufwerk (magneto optical disk)</t>
  </si>
  <si>
    <t>Magneto-Optical Disk</t>
  </si>
  <si>
    <t>MagnetoOpticalDisk</t>
  </si>
  <si>
    <t>SVHS</t>
  </si>
  <si>
    <t>SVHS Videokassette</t>
  </si>
  <si>
    <t>SVHS Video Cassette</t>
  </si>
  <si>
    <t>SVHSVideoCassette</t>
  </si>
  <si>
    <t>USB Stick</t>
  </si>
  <si>
    <t>USBStick</t>
  </si>
  <si>
    <t>OtherVideoStorageMedium</t>
  </si>
  <si>
    <t>**208 Fotospeichermedium (Photo Storage Medium)**</t>
  </si>
  <si>
    <t>FOTO</t>
  </si>
  <si>
    <t>Foto als Filmabzug</t>
  </si>
  <si>
    <t>Photo as Film Print</t>
  </si>
  <si>
    <t>FilmPrintPhoto</t>
  </si>
  <si>
    <t>DIGFOTO</t>
  </si>
  <si>
    <t>Digitales Bild</t>
  </si>
  <si>
    <t>Digital Image</t>
  </si>
  <si>
    <t>DigitalImage</t>
  </si>
  <si>
    <t>OtherPhotoStorageMedium</t>
  </si>
  <si>
    <t>Sofortmaßnahme</t>
  </si>
  <si>
    <t>Immediate Action</t>
  </si>
  <si>
    <t>**210 Bezugspunkt vertikal (Vertical Reference Point)**</t>
  </si>
  <si>
    <t>Sohllage des niedrigsten Rohres</t>
  </si>
  <si>
    <t>Invert Level of the Lowest Pipe</t>
  </si>
  <si>
    <t>LowestPipeInvertLevel</t>
  </si>
  <si>
    <t>Überdeckung</t>
  </si>
  <si>
    <t>Cover Level</t>
  </si>
  <si>
    <t>CoverLevel</t>
  </si>
  <si>
    <t>Nationaler Bezugspunkt</t>
  </si>
  <si>
    <t>National Reference Point</t>
  </si>
  <si>
    <t>NationalReferencePoint</t>
  </si>
  <si>
    <t>Lokaler Bezugspunkt</t>
  </si>
  <si>
    <t>Local Reference Point</t>
  </si>
  <si>
    <t>LocalReferencePoint</t>
  </si>
  <si>
    <t>OtherVerticalReferencePoint</t>
  </si>
  <si>
    <t>**211 Bezugspunkt am Umfang (Circumferential Reference Point)**</t>
  </si>
  <si>
    <t>Niedrigstes abgehendes Rohr bei 12 Uhr</t>
  </si>
  <si>
    <t>Lowest Outgoing Pipe at 12 O'Clock</t>
  </si>
  <si>
    <t>LowestPipeAt12OClock</t>
  </si>
  <si>
    <t>Niedrigstes abgehendes Rohr bei 6 Uhr</t>
  </si>
  <si>
    <t>Lowest Outgoing Pipe at 6 O'Clock</t>
  </si>
  <si>
    <t>LowestPipeAt6OClock</t>
  </si>
  <si>
    <t>OtherCircumferentialReferencePoint</t>
  </si>
  <si>
    <t>**212 Umgebungsluft (Ambient Air)**</t>
  </si>
  <si>
    <t>Sauerstoffmangel</t>
  </si>
  <si>
    <t>Oxygen Deficiency</t>
  </si>
  <si>
    <t>OxygenDeficiency</t>
  </si>
  <si>
    <t>Schwefelwasserstoff</t>
  </si>
  <si>
    <t>Hydrogen Sulfide</t>
  </si>
  <si>
    <t>HydrogenSulfide</t>
  </si>
  <si>
    <t>Methan</t>
  </si>
  <si>
    <t>Methane</t>
  </si>
  <si>
    <t>Andere entzündliche Gase</t>
  </si>
  <si>
    <t>Other Flammable Gases</t>
  </si>
  <si>
    <t>OtherFlammableGases</t>
  </si>
  <si>
    <t>Keine gefährliche Umgebungsluft</t>
  </si>
  <si>
    <t>No Hazardous Ambient Air</t>
  </si>
  <si>
    <t>NoHazardousAmbientAir</t>
  </si>
  <si>
    <t>OtherAmbientAir</t>
  </si>
  <si>
    <t>Gel-Injektion</t>
  </si>
  <si>
    <t>Gel Injection</t>
  </si>
  <si>
    <t>GelInjection</t>
  </si>
  <si>
    <t>Harz-Injektion</t>
  </si>
  <si>
    <t>Resin Injection</t>
  </si>
  <si>
    <t>ResinInjection</t>
  </si>
  <si>
    <t>Mörtel-Injektion</t>
  </si>
  <si>
    <t>Mortar Injection</t>
  </si>
  <si>
    <t>MortarInjection</t>
  </si>
  <si>
    <t>Robotertechnik</t>
  </si>
  <si>
    <t>Robotic Technology</t>
  </si>
  <si>
    <t>RoboticRepair</t>
  </si>
  <si>
    <t>Kurzliner aus Laminat</t>
  </si>
  <si>
    <t>Laminate Short Liner</t>
  </si>
  <si>
    <t>LaminateShortLiner</t>
  </si>
  <si>
    <t>Innenmanschetten</t>
  </si>
  <si>
    <t>Internal Sleeves</t>
  </si>
  <si>
    <t>InternalSleeves</t>
  </si>
  <si>
    <t>Zulauföffnung ohne Einbindung</t>
  </si>
  <si>
    <t>Connection Opening without Integration</t>
  </si>
  <si>
    <t>ConnectionOpeningWithoutIntegration</t>
  </si>
  <si>
    <t>Zulaufeinbindung Verpresstechnik</t>
  </si>
  <si>
    <t>Connection Integration Pressing Technique</t>
  </si>
  <si>
    <t>ConnectionPressingTechnique</t>
  </si>
  <si>
    <t>Zulaufeinbindung Injektionstechnik</t>
  </si>
  <si>
    <t>Connection Integration Injection Technique</t>
  </si>
  <si>
    <t>ConnectionInjectionTechnique</t>
  </si>
  <si>
    <t>Zulaufeinbindung Hutprofil</t>
  </si>
  <si>
    <t>Connection Integration Hat Profile</t>
  </si>
  <si>
    <t>ConnectionHatProfile</t>
  </si>
  <si>
    <t>Manuelle Technik (z. B. Spachtelung)</t>
  </si>
  <si>
    <t>Manual Technique (e.g., Spackling)</t>
  </si>
  <si>
    <t>ManualTechnique</t>
  </si>
  <si>
    <t>Manuelle Laminattechnik</t>
  </si>
  <si>
    <t>Manual Laminate Technique</t>
  </si>
  <si>
    <t>ManualLaminateTechnique</t>
  </si>
  <si>
    <t>Injektionstechnik Bohrpacker</t>
  </si>
  <si>
    <t>Injection Technique with Bore Packers</t>
  </si>
  <si>
    <t>InjectionWithBorePackers</t>
  </si>
  <si>
    <t>Verbindungsabdichtung dauerelastisch</t>
  </si>
  <si>
    <t>Permanently Elastic Connection Seal</t>
  </si>
  <si>
    <t>PermanentlyElasticConnectionSeal</t>
  </si>
  <si>
    <t>O</t>
  </si>
  <si>
    <t>Rohr ausgetauscht</t>
  </si>
  <si>
    <t>Pipe Replaced</t>
  </si>
  <si>
    <t>PipeReplacement</t>
  </si>
  <si>
    <t>Sonstige Reparaturtechnik</t>
  </si>
  <si>
    <t>Other Repair Technique</t>
  </si>
  <si>
    <t>OtherRepairTechnique</t>
  </si>
  <si>
    <t>Manuelle Techniken (z. B. Spachtelung)</t>
  </si>
  <si>
    <t>Manual Techniques (e.g., Spackling)</t>
  </si>
  <si>
    <t>ManualNodeTechnique</t>
  </si>
  <si>
    <t>ManualNodeLaminateTechnique</t>
  </si>
  <si>
    <t>NodeInjectionWithBorePackers</t>
  </si>
  <si>
    <t>Innenmanschetten verklebt/verspannt</t>
  </si>
  <si>
    <t>Internal Sleeves Bonded/Clamped</t>
  </si>
  <si>
    <t>InternalSleevesBondedClamped</t>
  </si>
  <si>
    <t>NodePermanentlyElasticConnectionSeal</t>
  </si>
  <si>
    <t>Anschlussöffnung, Auskleidung ohne Einbindung</t>
  </si>
  <si>
    <t>Connection Opening, Lining without Integration</t>
  </si>
  <si>
    <t>NodeConnectionOpeningWithoutIntegration</t>
  </si>
  <si>
    <t>Schachtbauteil ausgetauscht Dichtring</t>
  </si>
  <si>
    <t>Shaft Component Replaced with Seal Ring</t>
  </si>
  <si>
    <t>ShaftComponentWithSealRing</t>
  </si>
  <si>
    <t>Schachtbauteil ausgetauscht Mörtelfuge</t>
  </si>
  <si>
    <t>Shaft Component Replaced with Mortar Joint</t>
  </si>
  <si>
    <t>ShaftComponentWithMortarJoint</t>
  </si>
  <si>
    <t>OtherNodeRepairTechnique</t>
  </si>
  <si>
    <t>**215 Bearbeitungsstatus (Processing Status)**</t>
  </si>
  <si>
    <t>Beauftragt</t>
  </si>
  <si>
    <t>Commissioned</t>
  </si>
  <si>
    <t>CommissionedStatus</t>
  </si>
  <si>
    <t>Erledigt</t>
  </si>
  <si>
    <t>Completed</t>
  </si>
  <si>
    <t>CompletedStatus</t>
  </si>
  <si>
    <t>NB</t>
  </si>
  <si>
    <t>Nicht beauftragt</t>
  </si>
  <si>
    <t>Not Commissioned</t>
  </si>
  <si>
    <t>NotCommissionedStatus</t>
  </si>
  <si>
    <t>NE</t>
  </si>
  <si>
    <t>Nicht erledigt</t>
  </si>
  <si>
    <t>Not Completed</t>
  </si>
  <si>
    <t>NotCompletedStatus</t>
  </si>
  <si>
    <t>**300 Geometrieobjektkennung (Geometry Object Identification)**</t>
  </si>
  <si>
    <t>StructureGeometry</t>
  </si>
  <si>
    <t>Deckel</t>
  </si>
  <si>
    <t>Cover</t>
  </si>
  <si>
    <t>CoverGeometry</t>
  </si>
  <si>
    <t>ChannelGeometry</t>
  </si>
  <si>
    <t>Haltung</t>
  </si>
  <si>
    <t>Section</t>
  </si>
  <si>
    <t>**301 Geometrieobjekttyp (Geometry Object Type)**</t>
  </si>
  <si>
    <t>Fl</t>
  </si>
  <si>
    <t>Fläche</t>
  </si>
  <si>
    <t>Area</t>
  </si>
  <si>
    <t>AreaGeometry</t>
  </si>
  <si>
    <t>Kr</t>
  </si>
  <si>
    <t>Kreis</t>
  </si>
  <si>
    <t>Circle</t>
  </si>
  <si>
    <t>CircleGeometry</t>
  </si>
  <si>
    <t>Linie</t>
  </si>
  <si>
    <t>Line</t>
  </si>
  <si>
    <t>LineGeometry</t>
  </si>
  <si>
    <t>Pkt</t>
  </si>
  <si>
    <t>Point</t>
  </si>
  <si>
    <t>PointGeometry</t>
  </si>
  <si>
    <t>Poly</t>
  </si>
  <si>
    <t>Polygon</t>
  </si>
  <si>
    <t>PolygonGeometry</t>
  </si>
  <si>
    <t>**302 Koordinatensystem (Coordinate System)**</t>
  </si>
  <si>
    <t>GK</t>
  </si>
  <si>
    <t>Gauß-Krüger</t>
  </si>
  <si>
    <t>Gauss-Krüger</t>
  </si>
  <si>
    <t>GaussKrugerCoordinateSystem</t>
  </si>
  <si>
    <t>UTM</t>
  </si>
  <si>
    <t>Universal Transversal Mercator</t>
  </si>
  <si>
    <t>Universal Transverse Mercator</t>
  </si>
  <si>
    <t>UTMCoordinateSystem</t>
  </si>
  <si>
    <t>**303 Höhensystem (Elevation System)**</t>
  </si>
  <si>
    <t>mNN</t>
  </si>
  <si>
    <t>m.ü.NN</t>
  </si>
  <si>
    <t>Meters Above Sea Level (NN)</t>
  </si>
  <si>
    <t>MetersAboveSeaLevelNN</t>
  </si>
  <si>
    <t>NHN</t>
  </si>
  <si>
    <t>Normalhöhennull</t>
  </si>
  <si>
    <t>Normal Height Zero</t>
  </si>
  <si>
    <t>NormalHeightZero</t>
  </si>
  <si>
    <t>**304 Punkttyp bei Kreisbogen (Point Type in Circular Arc)**</t>
  </si>
  <si>
    <t>Bogenpunkt</t>
  </si>
  <si>
    <t>Arc Point</t>
  </si>
  <si>
    <t>ArcPoint</t>
  </si>
  <si>
    <t>Kreismittelpunkt</t>
  </si>
  <si>
    <t>Circle Center</t>
  </si>
  <si>
    <t>CircleCenter</t>
  </si>
  <si>
    <t>**401 Messwerttyp (Measurement Value Type)**</t>
  </si>
  <si>
    <t>Neigung</t>
  </si>
  <si>
    <t>Slope</t>
  </si>
  <si>
    <t>SlopeMeasurement</t>
  </si>
  <si>
    <t>TemperatureMeasurement</t>
  </si>
  <si>
    <t>OWL Class Name</t>
  </si>
  <si>
    <t>**105 Material**</t>
  </si>
  <si>
    <t>**206 Vorflutsicherung (Backflow Prevention)**</t>
  </si>
  <si>
    <t>WithBackflowPrevention</t>
  </si>
  <si>
    <t>WithoutBackflowPrevention</t>
  </si>
  <si>
    <t>Reference Table 128</t>
  </si>
  <si>
    <t>Clock Format</t>
  </si>
  <si>
    <t>Reference Table 106</t>
  </si>
  <si>
    <t>Reference Table 107</t>
  </si>
  <si>
    <t>Reference Table 108</t>
  </si>
  <si>
    <t>Reference Table 127</t>
  </si>
  <si>
    <t>Reference Table 300</t>
  </si>
  <si>
    <t>Reference Table 301</t>
  </si>
  <si>
    <t>Reference Table 101</t>
  </si>
  <si>
    <t>Reference Table 102</t>
  </si>
  <si>
    <t>Reference Table 303</t>
  </si>
  <si>
    <t>Reference Table 304</t>
  </si>
  <si>
    <t>Reference Table 401</t>
  </si>
  <si>
    <t>Reference Table 213</t>
  </si>
  <si>
    <t>Cover Class</t>
  </si>
  <si>
    <t>hasNodeCoverClass</t>
  </si>
  <si>
    <t>hasFormatType</t>
  </si>
  <si>
    <t>hasFormatData</t>
  </si>
  <si>
    <t>hasFormatVersionNumber</t>
  </si>
  <si>
    <t>PipeSectionGeometry</t>
  </si>
  <si>
    <t>hasRehabilitationRequirementNumber</t>
  </si>
  <si>
    <t>Measurement Value Type</t>
  </si>
  <si>
    <t>hasMeasurementValueType</t>
  </si>
  <si>
    <t>**209 Meldung (Report)**</t>
  </si>
  <si>
    <t>ImmediateActionReport</t>
  </si>
  <si>
    <t>OtherReport</t>
  </si>
  <si>
    <t>**108 Haltungsart (Pipe Section Type)**</t>
  </si>
  <si>
    <t>ReferencePipeSection</t>
  </si>
  <si>
    <t>hasSewerUsage</t>
  </si>
  <si>
    <t>**214 Punktuelle Reparatur Knoten (Localized Repair Node)**</t>
  </si>
  <si>
    <t>**213 Punktuelle Reparatur Kanal (Localized Repair Sewer)**</t>
  </si>
  <si>
    <t>**124 Knote: Bauteil (Node Component)**</t>
  </si>
  <si>
    <t>**127 Lagerungsart (Bedding Type)**</t>
  </si>
  <si>
    <t>NoBeddingInformation</t>
  </si>
  <si>
    <t>SoilBedding</t>
  </si>
  <si>
    <t>SolidBedding</t>
  </si>
  <si>
    <t>SoilEmbedmentBedding</t>
  </si>
  <si>
    <t>Individual Name: Class Inspection (Template: Inspection[HG001/KG001]_[HI003/KI003])</t>
  </si>
  <si>
    <t>Geometry Object Designation</t>
  </si>
  <si>
    <t>Geometry Point Designation</t>
  </si>
  <si>
    <t>hasGeometryPointDesignation</t>
  </si>
  <si>
    <t>hasGeometryObjectDesignation</t>
  </si>
  <si>
    <t>hasInspectionDateTime</t>
  </si>
  <si>
    <t>xsd:dateTime</t>
  </si>
  <si>
    <t>(Super) Object/Data Property</t>
  </si>
  <si>
    <t>hasPipeSectionTopNodeDesignation</t>
  </si>
  <si>
    <t>hasPipeSectionBottomNodeDesignation</t>
  </si>
  <si>
    <t>hasPipeSectionEndPointDesignation</t>
  </si>
  <si>
    <t>Implementation with OntoParser TBD.</t>
  </si>
  <si>
    <t>I = Clockwise
G = Counter-clockwise</t>
  </si>
  <si>
    <t>Reference Table 302</t>
  </si>
  <si>
    <t>Create 2 new individuals here named Clockwise, counterclockwise. New class Orientation</t>
  </si>
  <si>
    <t>Create new class: Person.</t>
  </si>
  <si>
    <t>Create new class: StreetCode</t>
  </si>
  <si>
    <t>SpatialEntity</t>
  </si>
  <si>
    <t>InformationEntity</t>
  </si>
  <si>
    <t>StreetCode</t>
  </si>
  <si>
    <t>DistrictCode</t>
  </si>
  <si>
    <t>MunicipalityCode</t>
  </si>
  <si>
    <t>CatchmentAreaCode</t>
  </si>
  <si>
    <t>Create new class CatchmentAreaCode</t>
  </si>
  <si>
    <t>Create new class AreaCode</t>
  </si>
  <si>
    <t>Create new class District</t>
  </si>
  <si>
    <t>Create new class DistrictCode</t>
  </si>
  <si>
    <t>Create new class MunicipalityCode</t>
  </si>
  <si>
    <t>Create new class Street</t>
  </si>
  <si>
    <t>Street</t>
  </si>
  <si>
    <t>District</t>
  </si>
  <si>
    <t>Create new class TreatmentPlant</t>
  </si>
  <si>
    <t>TreatmentPlant</t>
  </si>
  <si>
    <t>New Additions to M150-Onto</t>
  </si>
  <si>
    <t>New Classes</t>
  </si>
  <si>
    <t>Directionality (or orientation)</t>
  </si>
  <si>
    <t>RotationalDirection</t>
  </si>
  <si>
    <t>Clockwise</t>
  </si>
  <si>
    <t>Counterclockwise</t>
  </si>
  <si>
    <t>New Individuals</t>
  </si>
  <si>
    <t>InFlowingDirection</t>
  </si>
  <si>
    <t>AgainstFlowingDirection</t>
  </si>
  <si>
    <t>Input XML dependent</t>
  </si>
  <si>
    <t>Agent</t>
  </si>
  <si>
    <t>Organization</t>
  </si>
  <si>
    <t>Person</t>
  </si>
  <si>
    <t>Role</t>
  </si>
  <si>
    <t>Create new class: CameraSystem</t>
  </si>
  <si>
    <t>Create new class: Inspector</t>
  </si>
  <si>
    <t>Create new class: Organization</t>
  </si>
  <si>
    <t>Create new individuals. Type of VideoStorageMedium.</t>
  </si>
  <si>
    <t>Not a new class.</t>
  </si>
  <si>
    <t>Create new class: VideoFile. New individuals type of VideoFile.</t>
  </si>
  <si>
    <t>New class: Reporter.</t>
  </si>
  <si>
    <t>Create new individuals. Type of Reporter.</t>
  </si>
  <si>
    <t>New class: Assessor</t>
  </si>
  <si>
    <t>Data Properties for now. Should be expanded in the future with DWA-M 149-3 separate ontology.</t>
  </si>
  <si>
    <t>I in Fließrichtung  G in Gegenrichtung</t>
  </si>
  <si>
    <t>The 2 new individuals for flowingdirection</t>
  </si>
  <si>
    <t>FlowingDirection</t>
  </si>
  <si>
    <t>New Class: DigitalPhoto. New individuals based on XML.</t>
  </si>
  <si>
    <t>yes = safe, no = not safe</t>
  </si>
  <si>
    <t>yes = correct, no = incorrect</t>
  </si>
  <si>
    <t>New Class: AmbientPhoto</t>
  </si>
  <si>
    <t>Data properties for now. Will be expanded with SDCO ontology.</t>
  </si>
  <si>
    <t>New Class: Photo. New individuals based on XML.</t>
  </si>
  <si>
    <t>Issue: for some reason, DWA-M 150 classifies this as an alphanumerical string instead of a boolean. A boolean would be the better choice: Yes: an einer Verbindung aufgetreten; No: nicht an einer Verbindung aufgetreten. Instead: M150 says if empty then no, if A then yes.This will have to be reflected in the OntoParser somehow.</t>
  </si>
  <si>
    <t>DWA-M 149-2</t>
  </si>
  <si>
    <t>New Class Classifier. New individual based on XML.</t>
  </si>
  <si>
    <t>Reference Table Data has been removed from M150-Onto.</t>
  </si>
  <si>
    <t>Format Data has been removed from M150-Onto.</t>
  </si>
  <si>
    <t>Create 2 new individuals here. New class FlowingDirection (a subclass of Directionality). Individuals:InFlowingDirection and AgainstFlowingDirection. Both type of FlowingDirection.</t>
  </si>
  <si>
    <t>This could be an object property with a New class: MeasurementUnit. New individuals. Data property for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</si>
</sst>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5"/>
      <color theme="3"/>
      <name val="Aptos Narrow"/>
      <family val="2"/>
      <scheme val="minor"/>
    </font>
    <font>
      <b/>
      <sz val="11"/>
      <color theme="1"/>
      <name val="Aptos Narrow"/>
      <family val="2"/>
      <scheme val="minor"/>
    </font>
    <font>
      <sz val="11"/>
      <color rgb="FF9C0006"/>
      <name val="Aptos Narrow"/>
      <family val="2"/>
      <scheme val="minor"/>
    </font>
    <font>
      <sz val="9"/>
      <color indexed="81"/>
      <name val="Tahoma"/>
      <charset val="1"/>
    </font>
    <font>
      <b/>
      <sz val="9"/>
      <color indexed="81"/>
      <name val="Tahoma"/>
      <charset val="1"/>
    </font>
    <font>
      <sz val="11"/>
      <color theme="1"/>
      <name val="Aptos Narrow"/>
      <family val="2"/>
      <scheme val="minor"/>
    </font>
    <font>
      <sz val="11"/>
      <color theme="0"/>
      <name val="Aptos Narrow"/>
      <family val="2"/>
      <scheme val="minor"/>
    </font>
    <font>
      <sz val="12"/>
      <color theme="1"/>
      <name val="Aptos Narrow"/>
      <family val="2"/>
      <scheme val="minor"/>
    </font>
    <font>
      <b/>
      <sz val="13"/>
      <color theme="3"/>
      <name val="Aptos Narrow"/>
      <family val="2"/>
      <scheme val="minor"/>
    </font>
    <font>
      <sz val="10"/>
      <color theme="0"/>
      <name val="Aptos Narrow"/>
      <family val="2"/>
      <scheme val="minor"/>
    </font>
    <font>
      <sz val="8"/>
      <name val="Aptos Narrow"/>
      <family val="2"/>
      <scheme val="minor"/>
    </font>
    <font>
      <b/>
      <sz val="11"/>
      <color rgb="FFFF0000"/>
      <name val="Aptos Narrow"/>
      <family val="2"/>
      <scheme val="minor"/>
    </font>
    <font>
      <i/>
      <sz val="11"/>
      <color rgb="FF7F7F7F"/>
      <name val="Aptos Narrow"/>
      <family val="2"/>
      <scheme val="minor"/>
    </font>
    <font>
      <b/>
      <sz val="18"/>
      <color theme="1"/>
      <name val="Aptos Narrow"/>
      <family val="2"/>
      <scheme val="minor"/>
    </font>
    <font>
      <sz val="18"/>
      <color theme="1"/>
      <name val="Aptos Narrow"/>
      <family val="2"/>
      <scheme val="minor"/>
    </font>
    <font>
      <sz val="18"/>
      <color theme="0"/>
      <name val="Aptos Narrow"/>
      <family val="2"/>
      <scheme val="minor"/>
    </font>
    <font>
      <sz val="18"/>
      <color rgb="FFFF0000"/>
      <name val="Aptos Narrow"/>
      <family val="2"/>
      <scheme val="minor"/>
    </font>
    <font>
      <b/>
      <strike/>
      <sz val="18"/>
      <color theme="1"/>
      <name val="Aptos Narrow"/>
      <family val="2"/>
      <scheme val="minor"/>
    </font>
    <font>
      <sz val="11"/>
      <color rgb="FF006100"/>
      <name val="Aptos Narrow"/>
      <family val="2"/>
      <scheme val="minor"/>
    </font>
  </fonts>
  <fills count="10">
    <fill>
      <patternFill patternType="none"/>
    </fill>
    <fill>
      <patternFill patternType="gray125"/>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9"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C6EFCE"/>
      </patternFill>
    </fill>
  </fills>
  <borders count="33">
    <border>
      <left/>
      <right/>
      <top/>
      <bottom/>
      <diagonal/>
    </border>
    <border>
      <left/>
      <right/>
      <top/>
      <bottom style="thick">
        <color theme="4"/>
      </bottom>
      <diagonal/>
    </border>
    <border>
      <left style="thin">
        <color indexed="64"/>
      </left>
      <right/>
      <top/>
      <bottom/>
      <diagonal/>
    </border>
    <border>
      <left/>
      <right/>
      <top/>
      <bottom style="medium">
        <color indexed="64"/>
      </bottom>
      <diagonal/>
    </border>
    <border>
      <left/>
      <right/>
      <top style="thin">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ck">
        <color indexed="64"/>
      </left>
      <right/>
      <top/>
      <bottom/>
      <diagonal/>
    </border>
    <border>
      <left/>
      <right style="thick">
        <color indexed="64"/>
      </right>
      <top/>
      <bottom/>
      <diagonal/>
    </border>
    <border>
      <left/>
      <right style="thin">
        <color indexed="64"/>
      </right>
      <top style="thin">
        <color indexed="64"/>
      </top>
      <bottom style="thin">
        <color indexed="64"/>
      </bottom>
      <diagonal/>
    </border>
    <border>
      <left/>
      <right/>
      <top/>
      <bottom style="thick">
        <color theme="4" tint="0.499984740745262"/>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style="thick">
        <color indexed="64"/>
      </top>
      <bottom/>
      <diagonal/>
    </border>
    <border>
      <left/>
      <right style="thin">
        <color indexed="64"/>
      </right>
      <top style="thick">
        <color indexed="64"/>
      </top>
      <bottom/>
      <diagonal/>
    </border>
    <border>
      <left style="thick">
        <color indexed="64"/>
      </left>
      <right/>
      <top style="thick">
        <color indexed="64"/>
      </top>
      <bottom/>
      <diagonal/>
    </border>
    <border>
      <left style="thick">
        <color indexed="64"/>
      </left>
      <right style="thin">
        <color indexed="64"/>
      </right>
      <top style="thick">
        <color indexed="64"/>
      </top>
      <bottom/>
      <diagonal/>
    </border>
    <border>
      <left style="thick">
        <color indexed="64"/>
      </left>
      <right style="thin">
        <color indexed="64"/>
      </right>
      <top/>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n">
        <color indexed="64"/>
      </right>
      <top/>
      <bottom style="thick">
        <color indexed="64"/>
      </bottom>
      <diagonal/>
    </border>
  </borders>
  <cellStyleXfs count="10">
    <xf numFmtId="0" fontId="0" fillId="0" borderId="0"/>
    <xf numFmtId="0" fontId="1" fillId="0" borderId="1" applyNumberFormat="0" applyFill="0" applyAlignment="0" applyProtection="0"/>
    <xf numFmtId="0" fontId="3" fillId="2" borderId="0" applyNumberFormat="0" applyBorder="0" applyAlignment="0" applyProtection="0"/>
    <xf numFmtId="0" fontId="7"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8" fillId="0" borderId="0"/>
    <xf numFmtId="0" fontId="9" fillId="0" borderId="15" applyNumberFormat="0" applyFill="0" applyAlignment="0" applyProtection="0"/>
    <xf numFmtId="0" fontId="13" fillId="0" borderId="0" applyNumberFormat="0" applyFill="0" applyBorder="0" applyAlignment="0" applyProtection="0"/>
    <xf numFmtId="0" fontId="19" fillId="9" borderId="0" applyNumberFormat="0" applyBorder="0" applyAlignment="0" applyProtection="0"/>
  </cellStyleXfs>
  <cellXfs count="165">
    <xf numFmtId="0" fontId="0" fillId="0" borderId="0" xfId="0"/>
    <xf numFmtId="0" fontId="1" fillId="0" borderId="1" xfId="1"/>
    <xf numFmtId="0" fontId="2" fillId="0" borderId="0" xfId="0" applyFont="1"/>
    <xf numFmtId="4" fontId="1" fillId="0" borderId="1" xfId="1" applyNumberFormat="1"/>
    <xf numFmtId="0" fontId="0" fillId="0" borderId="2" xfId="0" applyBorder="1"/>
    <xf numFmtId="0" fontId="0" fillId="0" borderId="0" xfId="0" applyAlignment="1">
      <alignment horizontal="center"/>
    </xf>
    <xf numFmtId="0" fontId="0" fillId="0" borderId="4" xfId="0" applyBorder="1"/>
    <xf numFmtId="0" fontId="0" fillId="0" borderId="4" xfId="0" applyBorder="1" applyAlignment="1">
      <alignment horizontal="center"/>
    </xf>
    <xf numFmtId="0" fontId="0" fillId="0" borderId="6" xfId="0" applyBorder="1"/>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xf numFmtId="10" fontId="0" fillId="0" borderId="0" xfId="0" applyNumberFormat="1"/>
    <xf numFmtId="49" fontId="2" fillId="0" borderId="0" xfId="0" applyNumberFormat="1" applyFont="1" applyAlignment="1">
      <alignment horizontal="left" vertical="center"/>
    </xf>
    <xf numFmtId="49" fontId="0" fillId="0" borderId="0" xfId="0" applyNumberFormat="1" applyAlignment="1">
      <alignment horizontal="left" vertical="center"/>
    </xf>
    <xf numFmtId="0" fontId="2" fillId="0" borderId="0" xfId="0" applyFont="1" applyAlignment="1">
      <alignment horizontal="left" vertical="center"/>
    </xf>
    <xf numFmtId="0" fontId="1" fillId="0" borderId="1" xfId="1" applyAlignment="1">
      <alignment horizontal="left" vertical="center"/>
    </xf>
    <xf numFmtId="0" fontId="0" fillId="0" borderId="0" xfId="0" applyAlignment="1">
      <alignment horizontal="left" vertical="center"/>
    </xf>
    <xf numFmtId="0" fontId="3" fillId="2" borderId="0" xfId="2"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wrapText="1"/>
    </xf>
    <xf numFmtId="0" fontId="1" fillId="0" borderId="1" xfId="1" applyAlignment="1">
      <alignment horizontal="left" vertical="center" wrapText="1"/>
    </xf>
    <xf numFmtId="0" fontId="8" fillId="0" borderId="0" xfId="6"/>
    <xf numFmtId="49" fontId="6" fillId="5" borderId="7" xfId="5" applyNumberFormat="1" applyBorder="1" applyAlignment="1">
      <alignment horizontal="left" vertical="center"/>
    </xf>
    <xf numFmtId="0" fontId="6" fillId="5" borderId="7" xfId="5" applyBorder="1" applyAlignment="1">
      <alignment horizontal="left" vertical="center"/>
    </xf>
    <xf numFmtId="0" fontId="7" fillId="3" borderId="7" xfId="3" applyBorder="1" applyAlignment="1">
      <alignment horizontal="center" vertical="center"/>
    </xf>
    <xf numFmtId="0" fontId="6" fillId="5" borderId="7" xfId="5" applyBorder="1" applyAlignment="1">
      <alignment horizontal="left" vertical="center" wrapText="1"/>
    </xf>
    <xf numFmtId="0" fontId="7" fillId="3" borderId="7" xfId="3" applyBorder="1" applyAlignment="1">
      <alignment horizontal="left" vertical="center"/>
    </xf>
    <xf numFmtId="0" fontId="6" fillId="5" borderId="7" xfId="5" applyBorder="1" applyAlignment="1">
      <alignment vertical="center"/>
    </xf>
    <xf numFmtId="49" fontId="0" fillId="5" borderId="7" xfId="5" applyNumberFormat="1" applyFont="1" applyBorder="1" applyAlignment="1">
      <alignment horizontal="left" vertical="center"/>
    </xf>
    <xf numFmtId="49" fontId="2" fillId="0" borderId="13" xfId="0" applyNumberFormat="1" applyFont="1" applyBorder="1" applyAlignment="1">
      <alignment horizontal="left" vertical="center"/>
    </xf>
    <xf numFmtId="49" fontId="0" fillId="0" borderId="13" xfId="0" applyNumberFormat="1" applyBorder="1" applyAlignment="1">
      <alignment horizontal="left" vertical="center"/>
    </xf>
    <xf numFmtId="49" fontId="0" fillId="0" borderId="13" xfId="0" applyNumberFormat="1" applyBorder="1" applyAlignment="1">
      <alignment horizontal="left" vertical="center" wrapText="1"/>
    </xf>
    <xf numFmtId="0" fontId="0" fillId="5" borderId="7" xfId="5" applyFont="1" applyBorder="1" applyAlignment="1">
      <alignment horizontal="left" vertical="center" wrapText="1"/>
    </xf>
    <xf numFmtId="0" fontId="3" fillId="2" borderId="0" xfId="2"/>
    <xf numFmtId="0" fontId="9" fillId="0" borderId="15" xfId="7" applyAlignment="1">
      <alignment horizontal="left" vertical="center"/>
    </xf>
    <xf numFmtId="0" fontId="9" fillId="0" borderId="15" xfId="7" applyAlignment="1">
      <alignment horizontal="left" vertical="center" wrapText="1"/>
    </xf>
    <xf numFmtId="0" fontId="9" fillId="0" borderId="15" xfId="7"/>
    <xf numFmtId="0" fontId="7" fillId="3" borderId="0" xfId="3" applyAlignment="1">
      <alignment horizontal="left" vertical="center"/>
    </xf>
    <xf numFmtId="0" fontId="7" fillId="3" borderId="0" xfId="3" applyAlignment="1">
      <alignment horizontal="left" vertical="center" wrapText="1"/>
    </xf>
    <xf numFmtId="49" fontId="7" fillId="3" borderId="13" xfId="3" applyNumberFormat="1" applyBorder="1" applyAlignment="1">
      <alignment horizontal="left" vertical="center"/>
    </xf>
    <xf numFmtId="49" fontId="7" fillId="3" borderId="0" xfId="3" applyNumberFormat="1" applyAlignment="1">
      <alignment horizontal="left" vertical="center"/>
    </xf>
    <xf numFmtId="0" fontId="7" fillId="3" borderId="0" xfId="3"/>
    <xf numFmtId="49" fontId="0" fillId="0" borderId="13" xfId="0" applyNumberFormat="1" applyBorder="1" applyAlignment="1">
      <alignment vertical="center"/>
    </xf>
    <xf numFmtId="0" fontId="0" fillId="0" borderId="13" xfId="0" applyBorder="1"/>
    <xf numFmtId="0" fontId="12" fillId="0" borderId="0" xfId="0" applyFont="1" applyAlignment="1">
      <alignment horizontal="left" vertical="center"/>
    </xf>
    <xf numFmtId="0" fontId="12" fillId="0" borderId="0" xfId="0" applyFont="1"/>
    <xf numFmtId="4" fontId="9" fillId="0" borderId="15" xfId="7" applyNumberFormat="1"/>
    <xf numFmtId="0" fontId="6" fillId="5" borderId="7" xfId="5" applyBorder="1" applyAlignment="1">
      <alignment vertical="center" wrapText="1"/>
    </xf>
    <xf numFmtId="0" fontId="0" fillId="5" borderId="7" xfId="5" applyFont="1" applyBorder="1"/>
    <xf numFmtId="49" fontId="12" fillId="5" borderId="7" xfId="5" applyNumberFormat="1" applyFont="1" applyBorder="1" applyAlignment="1">
      <alignment horizontal="left" vertical="center"/>
    </xf>
    <xf numFmtId="49" fontId="6" fillId="5" borderId="27" xfId="5" applyNumberFormat="1" applyBorder="1" applyAlignment="1">
      <alignment horizontal="center" vertical="center"/>
    </xf>
    <xf numFmtId="49" fontId="2" fillId="0" borderId="12" xfId="0" applyNumberFormat="1" applyFont="1" applyBorder="1" applyAlignment="1">
      <alignment horizontal="left" vertical="center"/>
    </xf>
    <xf numFmtId="0" fontId="8" fillId="0" borderId="12" xfId="6" applyBorder="1"/>
    <xf numFmtId="0" fontId="0" fillId="0" borderId="12" xfId="0" applyBorder="1"/>
    <xf numFmtId="49" fontId="7" fillId="3" borderId="12" xfId="3" applyNumberFormat="1" applyBorder="1" applyAlignment="1">
      <alignment horizontal="left" vertical="center"/>
    </xf>
    <xf numFmtId="49" fontId="0" fillId="0" borderId="12" xfId="0" applyNumberFormat="1" applyBorder="1" applyAlignment="1">
      <alignment horizontal="left" vertical="center"/>
    </xf>
    <xf numFmtId="49" fontId="6" fillId="5" borderId="27" xfId="5" applyNumberFormat="1" applyBorder="1" applyAlignment="1">
      <alignment vertical="center"/>
    </xf>
    <xf numFmtId="49" fontId="2" fillId="7" borderId="28" xfId="5" applyNumberFormat="1" applyFont="1" applyFill="1" applyBorder="1" applyAlignment="1">
      <alignment horizontal="center" vertical="center"/>
    </xf>
    <xf numFmtId="49" fontId="2" fillId="7" borderId="20" xfId="5" applyNumberFormat="1" applyFont="1" applyFill="1" applyBorder="1" applyAlignment="1">
      <alignment horizontal="left" vertical="center"/>
    </xf>
    <xf numFmtId="0" fontId="0" fillId="8" borderId="23" xfId="4" applyFont="1" applyFill="1" applyBorder="1" applyAlignment="1">
      <alignment vertical="center" wrapText="1"/>
    </xf>
    <xf numFmtId="0" fontId="6" fillId="8" borderId="24" xfId="4" applyFill="1" applyBorder="1" applyAlignment="1">
      <alignment vertical="center" wrapText="1"/>
    </xf>
    <xf numFmtId="0" fontId="0" fillId="8" borderId="2" xfId="4" applyFont="1" applyFill="1" applyBorder="1" applyAlignment="1">
      <alignment vertical="center" wrapText="1"/>
    </xf>
    <xf numFmtId="0" fontId="6" fillId="8" borderId="17" xfId="4" applyFill="1" applyBorder="1" applyAlignment="1">
      <alignment vertical="center" wrapText="1"/>
    </xf>
    <xf numFmtId="0" fontId="0" fillId="8" borderId="11" xfId="4" applyFont="1" applyFill="1" applyBorder="1" applyAlignment="1">
      <alignment vertical="center" wrapText="1"/>
    </xf>
    <xf numFmtId="0" fontId="6" fillId="8" borderId="18" xfId="4" applyFill="1" applyBorder="1" applyAlignment="1">
      <alignment vertical="center" wrapText="1"/>
    </xf>
    <xf numFmtId="0" fontId="6" fillId="8" borderId="26" xfId="4" applyFill="1" applyBorder="1" applyAlignment="1">
      <alignment vertical="center" wrapText="1"/>
    </xf>
    <xf numFmtId="49" fontId="6" fillId="6" borderId="30" xfId="5" applyNumberFormat="1" applyFill="1" applyBorder="1" applyAlignment="1">
      <alignment vertical="center"/>
    </xf>
    <xf numFmtId="0" fontId="0" fillId="6" borderId="7" xfId="5" applyFont="1" applyFill="1" applyBorder="1" applyAlignment="1">
      <alignment horizontal="left" vertical="center" wrapText="1"/>
    </xf>
    <xf numFmtId="0" fontId="6" fillId="6" borderId="7" xfId="5" applyFill="1" applyBorder="1" applyAlignment="1">
      <alignment vertical="center"/>
    </xf>
    <xf numFmtId="49" fontId="6" fillId="6" borderId="30" xfId="5" applyNumberFormat="1" applyFill="1" applyBorder="1" applyAlignment="1">
      <alignment horizontal="center" vertical="center"/>
    </xf>
    <xf numFmtId="0" fontId="6" fillId="6" borderId="7" xfId="5" applyFill="1" applyBorder="1" applyAlignment="1">
      <alignment horizontal="left" vertical="center"/>
    </xf>
    <xf numFmtId="0" fontId="6" fillId="6" borderId="7" xfId="5" applyFill="1" applyBorder="1" applyAlignment="1">
      <alignment horizontal="left" vertical="center" wrapText="1"/>
    </xf>
    <xf numFmtId="49" fontId="6" fillId="5" borderId="12" xfId="5" applyNumberFormat="1" applyBorder="1" applyAlignment="1">
      <alignment vertical="center"/>
    </xf>
    <xf numFmtId="49" fontId="6" fillId="5" borderId="22" xfId="5" applyNumberFormat="1" applyBorder="1" applyAlignment="1">
      <alignment vertical="center"/>
    </xf>
    <xf numFmtId="49" fontId="0" fillId="5" borderId="26" xfId="5" applyNumberFormat="1" applyFont="1" applyBorder="1" applyAlignment="1">
      <alignment horizontal="center" vertical="center"/>
    </xf>
    <xf numFmtId="49" fontId="6" fillId="5" borderId="29" xfId="5" applyNumberFormat="1" applyBorder="1" applyAlignment="1">
      <alignment vertical="center"/>
    </xf>
    <xf numFmtId="49" fontId="6" fillId="6" borderId="7" xfId="5" applyNumberFormat="1" applyFill="1" applyBorder="1" applyAlignment="1">
      <alignment horizontal="left" vertical="center"/>
    </xf>
    <xf numFmtId="49" fontId="0" fillId="5" borderId="29" xfId="5" applyNumberFormat="1" applyFont="1" applyBorder="1" applyAlignment="1">
      <alignment vertical="center"/>
    </xf>
    <xf numFmtId="49" fontId="0" fillId="7" borderId="20" xfId="5" applyNumberFormat="1" applyFont="1" applyFill="1" applyBorder="1" applyAlignment="1">
      <alignment horizontal="left" vertical="center"/>
    </xf>
    <xf numFmtId="49" fontId="6" fillId="7" borderId="20" xfId="5" applyNumberFormat="1" applyFill="1" applyBorder="1" applyAlignment="1">
      <alignment horizontal="left" vertical="center"/>
    </xf>
    <xf numFmtId="49" fontId="0" fillId="7" borderId="7" xfId="5" applyNumberFormat="1" applyFont="1" applyFill="1" applyBorder="1" applyAlignment="1">
      <alignment horizontal="left" vertical="center"/>
    </xf>
    <xf numFmtId="49" fontId="6" fillId="7" borderId="7" xfId="5" applyNumberFormat="1" applyFill="1" applyBorder="1" applyAlignment="1">
      <alignment horizontal="left" vertical="center"/>
    </xf>
    <xf numFmtId="49" fontId="0" fillId="7" borderId="28" xfId="5" applyNumberFormat="1" applyFont="1" applyFill="1" applyBorder="1" applyAlignment="1">
      <alignment horizontal="center" vertical="center"/>
    </xf>
    <xf numFmtId="0" fontId="0" fillId="6" borderId="10" xfId="5" applyFont="1" applyFill="1" applyBorder="1" applyAlignment="1">
      <alignment horizontal="left" vertical="center" wrapText="1"/>
    </xf>
    <xf numFmtId="0" fontId="6" fillId="6" borderId="10" xfId="5" applyFill="1" applyBorder="1" applyAlignment="1">
      <alignment horizontal="left" vertical="center"/>
    </xf>
    <xf numFmtId="49" fontId="0" fillId="6" borderId="10" xfId="5" applyNumberFormat="1" applyFont="1" applyFill="1" applyBorder="1" applyAlignment="1">
      <alignment horizontal="left" vertical="center"/>
    </xf>
    <xf numFmtId="0" fontId="14" fillId="0" borderId="0" xfId="0" applyFont="1" applyAlignment="1">
      <alignment horizontal="left" vertical="center"/>
    </xf>
    <xf numFmtId="0" fontId="15" fillId="0" borderId="0" xfId="0" applyFont="1"/>
    <xf numFmtId="0" fontId="14" fillId="0" borderId="0" xfId="0" applyFont="1"/>
    <xf numFmtId="0" fontId="16" fillId="3" borderId="0" xfId="3" applyFont="1"/>
    <xf numFmtId="49" fontId="0" fillId="6" borderId="7" xfId="5" applyNumberFormat="1" applyFont="1" applyFill="1" applyBorder="1" applyAlignment="1">
      <alignment horizontal="left" vertical="center"/>
    </xf>
    <xf numFmtId="49" fontId="6" fillId="6" borderId="29" xfId="5" applyNumberFormat="1" applyFill="1" applyBorder="1" applyAlignment="1">
      <alignment vertical="center"/>
    </xf>
    <xf numFmtId="49" fontId="6" fillId="5" borderId="31" xfId="5" applyNumberFormat="1" applyBorder="1" applyAlignment="1">
      <alignment vertical="center"/>
    </xf>
    <xf numFmtId="49" fontId="0" fillId="6" borderId="29" xfId="5" applyNumberFormat="1" applyFont="1" applyFill="1" applyBorder="1" applyAlignment="1">
      <alignment vertical="center"/>
    </xf>
    <xf numFmtId="49" fontId="6" fillId="6" borderId="31" xfId="5" applyNumberFormat="1" applyFill="1" applyBorder="1" applyAlignment="1">
      <alignment vertical="center"/>
    </xf>
    <xf numFmtId="49" fontId="6" fillId="6" borderId="10" xfId="5" applyNumberFormat="1" applyFill="1" applyBorder="1" applyAlignment="1">
      <alignment horizontal="left" vertical="center"/>
    </xf>
    <xf numFmtId="0" fontId="12" fillId="0" borderId="13" xfId="0" applyFont="1" applyBorder="1"/>
    <xf numFmtId="0" fontId="17" fillId="0" borderId="0" xfId="0" applyFont="1"/>
    <xf numFmtId="0" fontId="0" fillId="6" borderId="7" xfId="5" applyFont="1" applyFill="1" applyBorder="1"/>
    <xf numFmtId="49" fontId="6" fillId="6" borderId="26" xfId="5" applyNumberFormat="1" applyFill="1" applyBorder="1" applyAlignment="1">
      <alignment vertical="center"/>
    </xf>
    <xf numFmtId="49" fontId="6" fillId="6" borderId="27" xfId="5" applyNumberFormat="1" applyFill="1" applyBorder="1" applyAlignment="1">
      <alignment vertical="center"/>
    </xf>
    <xf numFmtId="0" fontId="18" fillId="0" borderId="0" xfId="0" applyFont="1"/>
    <xf numFmtId="49" fontId="6" fillId="6" borderId="7" xfId="5" applyNumberFormat="1" applyFill="1" applyBorder="1" applyAlignment="1">
      <alignment horizontal="center" vertical="center"/>
    </xf>
    <xf numFmtId="0" fontId="7" fillId="3" borderId="7" xfId="3" applyBorder="1" applyAlignment="1">
      <alignment horizontal="center" vertical="center"/>
    </xf>
    <xf numFmtId="49" fontId="7" fillId="3" borderId="7" xfId="3" applyNumberFormat="1" applyBorder="1" applyAlignment="1">
      <alignment horizontal="center" vertical="center"/>
    </xf>
    <xf numFmtId="49" fontId="7" fillId="3" borderId="12" xfId="3" applyNumberFormat="1" applyBorder="1" applyAlignment="1">
      <alignment horizontal="center" vertical="center"/>
    </xf>
    <xf numFmtId="49" fontId="7" fillId="3" borderId="0" xfId="3" applyNumberFormat="1" applyBorder="1" applyAlignment="1">
      <alignment horizontal="center" vertical="center"/>
    </xf>
    <xf numFmtId="0" fontId="6" fillId="8" borderId="26" xfId="4" applyFill="1" applyBorder="1" applyAlignment="1">
      <alignment horizontal="center" vertical="center" wrapText="1"/>
    </xf>
    <xf numFmtId="0" fontId="6" fillId="8" borderId="27" xfId="4" applyFill="1" applyBorder="1" applyAlignment="1">
      <alignment horizontal="center" vertical="center" wrapText="1"/>
    </xf>
    <xf numFmtId="49" fontId="6" fillId="6" borderId="30" xfId="5" applyNumberFormat="1" applyFill="1" applyBorder="1" applyAlignment="1">
      <alignment horizontal="center" vertical="center"/>
    </xf>
    <xf numFmtId="49" fontId="6" fillId="6" borderId="27" xfId="5" applyNumberFormat="1" applyFill="1" applyBorder="1" applyAlignment="1">
      <alignment horizontal="center" vertical="center"/>
    </xf>
    <xf numFmtId="49" fontId="6" fillId="6" borderId="31" xfId="5" applyNumberFormat="1" applyFill="1" applyBorder="1" applyAlignment="1">
      <alignment horizontal="center" vertical="center"/>
    </xf>
    <xf numFmtId="49" fontId="0" fillId="5" borderId="26" xfId="5" applyNumberFormat="1" applyFont="1" applyBorder="1" applyAlignment="1">
      <alignment horizontal="center" vertical="center"/>
    </xf>
    <xf numFmtId="49" fontId="6" fillId="5" borderId="27" xfId="5" applyNumberFormat="1" applyBorder="1" applyAlignment="1">
      <alignment horizontal="center" vertical="center"/>
    </xf>
    <xf numFmtId="49" fontId="6" fillId="6" borderId="32" xfId="5" applyNumberFormat="1" applyFill="1" applyBorder="1" applyAlignment="1">
      <alignment horizontal="center" vertical="center"/>
    </xf>
    <xf numFmtId="49" fontId="0" fillId="5" borderId="27" xfId="5" applyNumberFormat="1" applyFont="1" applyBorder="1" applyAlignment="1">
      <alignment horizontal="center" vertical="center"/>
    </xf>
    <xf numFmtId="49" fontId="0" fillId="5" borderId="31" xfId="5" applyNumberFormat="1" applyFont="1" applyBorder="1" applyAlignment="1">
      <alignment horizontal="center" vertical="center"/>
    </xf>
    <xf numFmtId="0" fontId="6" fillId="8" borderId="31" xfId="4" applyFill="1" applyBorder="1" applyAlignment="1">
      <alignment horizontal="center" vertical="center" wrapText="1"/>
    </xf>
    <xf numFmtId="49" fontId="6" fillId="5" borderId="7" xfId="5" applyNumberFormat="1" applyBorder="1" applyAlignment="1">
      <alignment horizontal="center" vertical="center"/>
    </xf>
    <xf numFmtId="49" fontId="0" fillId="6" borderId="8" xfId="5" applyNumberFormat="1" applyFont="1" applyFill="1" applyBorder="1" applyAlignment="1">
      <alignment horizontal="center" vertical="center"/>
    </xf>
    <xf numFmtId="49" fontId="6" fillId="6" borderId="9" xfId="5" applyNumberFormat="1" applyFill="1" applyBorder="1" applyAlignment="1">
      <alignment horizontal="center" vertical="center"/>
    </xf>
    <xf numFmtId="49" fontId="6" fillId="6" borderId="10" xfId="5" applyNumberFormat="1" applyFill="1" applyBorder="1" applyAlignment="1">
      <alignment horizontal="center" vertical="center"/>
    </xf>
    <xf numFmtId="0" fontId="7" fillId="3" borderId="7" xfId="3" applyBorder="1" applyAlignment="1">
      <alignment horizontal="center" vertical="center" wrapText="1"/>
    </xf>
    <xf numFmtId="0" fontId="7" fillId="3" borderId="0" xfId="3" applyAlignment="1">
      <alignment horizontal="center" vertical="center"/>
    </xf>
    <xf numFmtId="49" fontId="7" fillId="3" borderId="21" xfId="3" applyNumberFormat="1" applyBorder="1" applyAlignment="1">
      <alignment horizontal="center" vertical="center"/>
    </xf>
    <xf numFmtId="49" fontId="7" fillId="3" borderId="16" xfId="3" applyNumberFormat="1" applyBorder="1" applyAlignment="1">
      <alignment horizontal="center" vertical="center"/>
    </xf>
    <xf numFmtId="49" fontId="7" fillId="3" borderId="22" xfId="3" applyNumberFormat="1" applyBorder="1" applyAlignment="1">
      <alignment horizontal="center" vertical="center"/>
    </xf>
    <xf numFmtId="49" fontId="7" fillId="3" borderId="18" xfId="3" applyNumberFormat="1" applyBorder="1" applyAlignment="1">
      <alignment horizontal="center" vertical="center"/>
    </xf>
    <xf numFmtId="0" fontId="7" fillId="3" borderId="8" xfId="3" applyBorder="1" applyAlignment="1">
      <alignment horizontal="center" vertical="center"/>
    </xf>
    <xf numFmtId="0" fontId="7" fillId="3" borderId="10" xfId="3" applyBorder="1" applyAlignment="1">
      <alignment horizontal="center" vertical="center"/>
    </xf>
    <xf numFmtId="49" fontId="0" fillId="5" borderId="7" xfId="5" applyNumberFormat="1" applyFont="1" applyBorder="1" applyAlignment="1">
      <alignment horizontal="center" vertical="center"/>
    </xf>
    <xf numFmtId="49" fontId="0" fillId="6" borderId="7" xfId="5" applyNumberFormat="1" applyFont="1" applyFill="1" applyBorder="1" applyAlignment="1">
      <alignment horizontal="center" vertical="center"/>
    </xf>
    <xf numFmtId="0" fontId="13" fillId="5" borderId="7" xfId="8" applyFill="1" applyBorder="1" applyAlignment="1">
      <alignment horizontal="center" vertical="center"/>
    </xf>
    <xf numFmtId="0" fontId="0" fillId="5" borderId="7" xfId="5" applyFont="1" applyBorder="1" applyAlignment="1">
      <alignment horizontal="center" vertical="center" wrapText="1"/>
    </xf>
    <xf numFmtId="0" fontId="6" fillId="5" borderId="7" xfId="5" applyBorder="1" applyAlignment="1">
      <alignment horizontal="center" vertical="center" wrapText="1"/>
    </xf>
    <xf numFmtId="49" fontId="0" fillId="5" borderId="29" xfId="5" applyNumberFormat="1" applyFont="1" applyBorder="1" applyAlignment="1">
      <alignment horizontal="center" vertical="center"/>
    </xf>
    <xf numFmtId="49" fontId="6" fillId="5" borderId="29" xfId="5" applyNumberFormat="1" applyBorder="1" applyAlignment="1">
      <alignment horizontal="center" vertical="center"/>
    </xf>
    <xf numFmtId="0" fontId="6" fillId="6" borderId="8" xfId="5" applyFill="1" applyBorder="1" applyAlignment="1">
      <alignment horizontal="center" vertical="center" wrapText="1"/>
    </xf>
    <xf numFmtId="0" fontId="6" fillId="6" borderId="10" xfId="5" applyFill="1" applyBorder="1" applyAlignment="1">
      <alignment horizontal="center" vertical="center" wrapText="1"/>
    </xf>
    <xf numFmtId="0" fontId="6" fillId="5" borderId="8" xfId="5" applyBorder="1" applyAlignment="1">
      <alignment horizontal="center" vertical="center" wrapText="1"/>
    </xf>
    <xf numFmtId="0" fontId="6" fillId="5" borderId="10" xfId="5" applyBorder="1" applyAlignment="1">
      <alignment horizontal="center" vertical="center" wrapText="1"/>
    </xf>
    <xf numFmtId="49" fontId="0" fillId="5" borderId="30" xfId="5" applyNumberFormat="1" applyFont="1" applyBorder="1" applyAlignment="1">
      <alignment horizontal="center" vertical="center"/>
    </xf>
    <xf numFmtId="49" fontId="0" fillId="6" borderId="30" xfId="5" applyNumberFormat="1" applyFont="1" applyFill="1" applyBorder="1" applyAlignment="1">
      <alignment horizontal="center" vertical="center"/>
    </xf>
    <xf numFmtId="49" fontId="0" fillId="6" borderId="31" xfId="5" applyNumberFormat="1" applyFont="1" applyFill="1" applyBorder="1" applyAlignment="1">
      <alignment horizontal="center" vertical="center"/>
    </xf>
    <xf numFmtId="0" fontId="6" fillId="6" borderId="29" xfId="5" applyFill="1" applyBorder="1" applyAlignment="1">
      <alignment horizontal="center" vertical="center"/>
    </xf>
    <xf numFmtId="0" fontId="0" fillId="6" borderId="7" xfId="5" applyFont="1" applyFill="1" applyBorder="1" applyAlignment="1">
      <alignment horizontal="center" vertical="center"/>
    </xf>
    <xf numFmtId="0" fontId="0" fillId="6" borderId="7" xfId="5" applyFont="1" applyFill="1" applyBorder="1" applyAlignment="1">
      <alignment horizontal="center" vertical="center" wrapText="1"/>
    </xf>
    <xf numFmtId="0" fontId="6" fillId="6" borderId="7" xfId="5" applyFill="1" applyBorder="1" applyAlignment="1">
      <alignment horizontal="center" vertical="center" wrapText="1"/>
    </xf>
    <xf numFmtId="0" fontId="6" fillId="6" borderId="7" xfId="5" applyFill="1" applyBorder="1" applyAlignment="1">
      <alignment horizontal="center" vertical="center"/>
    </xf>
    <xf numFmtId="0" fontId="13" fillId="5" borderId="8" xfId="8" applyFill="1" applyBorder="1" applyAlignment="1">
      <alignment horizontal="center" vertical="center"/>
    </xf>
    <xf numFmtId="0" fontId="13" fillId="5" borderId="10" xfId="8" applyFill="1" applyBorder="1" applyAlignment="1">
      <alignment horizontal="center" vertical="center"/>
    </xf>
    <xf numFmtId="0" fontId="6" fillId="6" borderId="8" xfId="5" applyFill="1" applyBorder="1" applyAlignment="1">
      <alignment horizontal="center" vertical="center"/>
    </xf>
    <xf numFmtId="0" fontId="6" fillId="6" borderId="10" xfId="5" applyFill="1" applyBorder="1" applyAlignment="1">
      <alignment horizontal="center" vertical="center"/>
    </xf>
    <xf numFmtId="0" fontId="7" fillId="3" borderId="4" xfId="3" applyBorder="1" applyAlignment="1">
      <alignment horizontal="center" vertical="center"/>
    </xf>
    <xf numFmtId="0" fontId="7" fillId="3" borderId="0" xfId="3" applyBorder="1" applyAlignment="1">
      <alignment horizontal="center" vertical="center"/>
    </xf>
    <xf numFmtId="0" fontId="10" fillId="3" borderId="7" xfId="3" applyFont="1" applyBorder="1" applyAlignment="1">
      <alignment horizontal="center" vertical="center"/>
    </xf>
    <xf numFmtId="49" fontId="7" fillId="3" borderId="19" xfId="3" applyNumberFormat="1" applyBorder="1" applyAlignment="1">
      <alignment horizontal="center" vertical="center"/>
    </xf>
    <xf numFmtId="49" fontId="7" fillId="3" borderId="14" xfId="3" applyNumberFormat="1" applyBorder="1" applyAlignment="1">
      <alignment horizontal="center" vertical="center"/>
    </xf>
    <xf numFmtId="49" fontId="0" fillId="5" borderId="25" xfId="5" applyNumberFormat="1" applyFont="1" applyBorder="1" applyAlignment="1">
      <alignment horizontal="center" vertical="center"/>
    </xf>
    <xf numFmtId="49" fontId="6" fillId="5" borderId="12" xfId="5" applyNumberFormat="1" applyBorder="1" applyAlignment="1">
      <alignment horizontal="center" vertical="center"/>
    </xf>
    <xf numFmtId="49" fontId="6" fillId="5" borderId="22" xfId="5" applyNumberFormat="1" applyBorder="1" applyAlignment="1">
      <alignment horizontal="center" vertical="center"/>
    </xf>
    <xf numFmtId="49" fontId="0" fillId="0" borderId="13" xfId="0" applyNumberFormat="1" applyBorder="1" applyAlignment="1">
      <alignment horizontal="center" vertical="center"/>
    </xf>
    <xf numFmtId="0" fontId="19" fillId="9" borderId="0" xfId="9"/>
  </cellXfs>
  <cellStyles count="10">
    <cellStyle name="20% - Accent1" xfId="4" builtinId="30"/>
    <cellStyle name="40% - Accent1" xfId="5" builtinId="31"/>
    <cellStyle name="Accent1" xfId="3" builtinId="29"/>
    <cellStyle name="Bad" xfId="2" builtinId="27"/>
    <cellStyle name="Explanatory Text" xfId="8" builtinId="53"/>
    <cellStyle name="Good" xfId="9" builtinId="26"/>
    <cellStyle name="Heading 1" xfId="1" builtinId="16"/>
    <cellStyle name="Heading 2" xfId="7" builtinId="17"/>
    <cellStyle name="Normal" xfId="0" builtinId="0"/>
    <cellStyle name="Normal 2" xfId="6" xr:uid="{73184220-ECEF-4E4B-9D39-939CEB9C7E6F}"/>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ypZ" connectionId="1" xr16:uid="{EE85E084-3EEA-4B97-BE84-FDFDC2FD1C57}"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A492-23D4-4B0E-933F-AB627B415EAD}">
  <dimension ref="B2:F15"/>
  <sheetViews>
    <sheetView topLeftCell="A2" workbookViewId="0">
      <selection activeCell="D15" sqref="D15"/>
    </sheetView>
  </sheetViews>
  <sheetFormatPr defaultRowHeight="14.4" x14ac:dyDescent="0.3"/>
  <cols>
    <col min="3" max="3" width="13.5546875" style="5" bestFit="1" customWidth="1"/>
    <col min="4" max="4" width="10.5546875" bestFit="1" customWidth="1"/>
    <col min="5" max="5" width="18.88671875" customWidth="1"/>
    <col min="6" max="6" width="18" customWidth="1"/>
  </cols>
  <sheetData>
    <row r="2" spans="2:6" ht="43.8" thickBot="1" x14ac:dyDescent="0.35">
      <c r="B2" s="9" t="s">
        <v>575</v>
      </c>
      <c r="C2" s="10" t="s">
        <v>574</v>
      </c>
      <c r="D2" s="10" t="s">
        <v>578</v>
      </c>
      <c r="E2" s="11" t="s">
        <v>581</v>
      </c>
      <c r="F2" s="9" t="s">
        <v>580</v>
      </c>
    </row>
    <row r="3" spans="2:6" x14ac:dyDescent="0.3">
      <c r="B3" s="2" t="s">
        <v>576</v>
      </c>
      <c r="D3" s="5"/>
      <c r="E3" s="4"/>
      <c r="F3" s="13"/>
    </row>
    <row r="4" spans="2:6" x14ac:dyDescent="0.3">
      <c r="C4" s="5" t="s">
        <v>177</v>
      </c>
      <c r="D4" s="5">
        <v>49</v>
      </c>
      <c r="E4" s="4"/>
    </row>
    <row r="5" spans="2:6" x14ac:dyDescent="0.3">
      <c r="C5" s="5" t="s">
        <v>579</v>
      </c>
      <c r="D5" s="5">
        <f>6+13</f>
        <v>19</v>
      </c>
      <c r="E5" s="4"/>
    </row>
    <row r="6" spans="2:6" x14ac:dyDescent="0.3">
      <c r="C6" s="5" t="s">
        <v>582</v>
      </c>
      <c r="D6" s="5">
        <f>44+5</f>
        <v>49</v>
      </c>
      <c r="E6" s="4"/>
    </row>
    <row r="7" spans="2:6" x14ac:dyDescent="0.3">
      <c r="C7" s="5" t="s">
        <v>280</v>
      </c>
      <c r="D7" s="5">
        <v>27</v>
      </c>
      <c r="E7" s="4"/>
    </row>
    <row r="8" spans="2:6" x14ac:dyDescent="0.3">
      <c r="B8" s="12" t="s">
        <v>585</v>
      </c>
      <c r="C8" s="7"/>
      <c r="D8" s="7">
        <f>SUM(D4:D7)</f>
        <v>144</v>
      </c>
      <c r="E8" s="8">
        <v>144</v>
      </c>
      <c r="F8" s="6"/>
    </row>
    <row r="9" spans="2:6" x14ac:dyDescent="0.3">
      <c r="B9" s="12" t="s">
        <v>577</v>
      </c>
      <c r="C9" s="7"/>
      <c r="D9" s="7">
        <f>SUM(D10:D13)</f>
        <v>152</v>
      </c>
      <c r="E9" s="8"/>
      <c r="F9" s="6"/>
    </row>
    <row r="10" spans="2:6" x14ac:dyDescent="0.3">
      <c r="C10" s="5" t="s">
        <v>583</v>
      </c>
      <c r="D10" s="5">
        <f>48+9</f>
        <v>57</v>
      </c>
      <c r="E10" s="4"/>
    </row>
    <row r="11" spans="2:6" x14ac:dyDescent="0.3">
      <c r="C11" s="5" t="s">
        <v>579</v>
      </c>
      <c r="D11" s="5">
        <f>6+13</f>
        <v>19</v>
      </c>
      <c r="E11" s="4"/>
    </row>
    <row r="12" spans="2:6" x14ac:dyDescent="0.3">
      <c r="C12" s="5" t="s">
        <v>419</v>
      </c>
      <c r="D12" s="5">
        <v>49</v>
      </c>
      <c r="E12" s="4"/>
    </row>
    <row r="13" spans="2:6" x14ac:dyDescent="0.3">
      <c r="C13" s="5" t="s">
        <v>487</v>
      </c>
      <c r="D13" s="5">
        <v>27</v>
      </c>
      <c r="E13" s="4"/>
    </row>
    <row r="14" spans="2:6" x14ac:dyDescent="0.3">
      <c r="B14" s="12" t="s">
        <v>586</v>
      </c>
      <c r="C14" s="7"/>
      <c r="D14" s="7">
        <f>SUM(D3,D9)</f>
        <v>152</v>
      </c>
      <c r="E14" s="8"/>
      <c r="F14" s="6"/>
    </row>
    <row r="15" spans="2:6" x14ac:dyDescent="0.3">
      <c r="B15" s="12" t="s">
        <v>584</v>
      </c>
      <c r="C15" s="7"/>
      <c r="D15" s="6">
        <f>SUM(D8,D14)</f>
        <v>296</v>
      </c>
      <c r="E15" s="6"/>
      <c r="F15"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B2E1-92DB-4647-972B-7ABE25CA54AE}">
  <sheetPr>
    <pageSetUpPr fitToPage="1"/>
  </sheetPr>
  <dimension ref="A1:U338"/>
  <sheetViews>
    <sheetView tabSelected="1" zoomScale="70" zoomScaleNormal="70" workbookViewId="0">
      <pane ySplit="1" topLeftCell="A248" activePane="bottomLeft" state="frozen"/>
      <selection pane="bottomLeft" activeCell="G267" sqref="G267"/>
    </sheetView>
  </sheetViews>
  <sheetFormatPr defaultRowHeight="23.4" x14ac:dyDescent="0.45"/>
  <cols>
    <col min="1" max="1" width="8.5546875" style="18" bestFit="1" customWidth="1"/>
    <col min="2" max="2" width="44.6640625" style="18" customWidth="1"/>
    <col min="3" max="3" width="31" style="20" customWidth="1"/>
    <col min="4" max="4" width="18.88671875" style="32" customWidth="1"/>
    <col min="5" max="5" width="27.6640625" style="57" bestFit="1" customWidth="1"/>
    <col min="6" max="6" width="46.44140625" style="15" bestFit="1" customWidth="1"/>
    <col min="7" max="7" width="12" style="15" bestFit="1" customWidth="1"/>
    <col min="8" max="8" width="9.109375" style="89"/>
  </cols>
  <sheetData>
    <row r="1" spans="1:20" ht="14.25" customHeight="1" x14ac:dyDescent="0.3">
      <c r="A1" s="16" t="s">
        <v>575</v>
      </c>
      <c r="B1" s="16" t="s">
        <v>607</v>
      </c>
      <c r="C1" s="21" t="s">
        <v>608</v>
      </c>
      <c r="D1" s="31" t="s">
        <v>610</v>
      </c>
      <c r="E1" s="53" t="s">
        <v>693</v>
      </c>
      <c r="F1" s="14" t="s">
        <v>697</v>
      </c>
      <c r="G1" s="14" t="s">
        <v>173</v>
      </c>
      <c r="H1" s="88"/>
      <c r="I1" s="16"/>
      <c r="J1" s="16"/>
      <c r="K1" s="16"/>
    </row>
    <row r="2" spans="1:20" ht="14.25" customHeight="1" x14ac:dyDescent="0.3">
      <c r="A2" s="16"/>
      <c r="B2" s="16"/>
      <c r="C2" s="21"/>
      <c r="D2" s="31"/>
      <c r="E2" s="53"/>
      <c r="F2" s="14"/>
      <c r="G2" s="14"/>
      <c r="H2" s="88"/>
      <c r="I2" s="16"/>
      <c r="J2" s="16"/>
      <c r="K2" s="16"/>
    </row>
    <row r="3" spans="1:20" ht="24" thickBot="1" x14ac:dyDescent="0.35">
      <c r="A3" s="17" t="s">
        <v>863</v>
      </c>
      <c r="B3" s="17" t="s">
        <v>861</v>
      </c>
      <c r="C3" s="22" t="s">
        <v>862</v>
      </c>
      <c r="D3" s="31"/>
      <c r="E3" s="59" t="s">
        <v>2096</v>
      </c>
      <c r="F3" s="60" t="s">
        <v>865</v>
      </c>
      <c r="G3" s="60"/>
      <c r="H3" s="88"/>
      <c r="I3" s="16"/>
      <c r="J3" s="16"/>
      <c r="K3" s="16"/>
    </row>
    <row r="4" spans="1:20" ht="24" thickTop="1" x14ac:dyDescent="0.45">
      <c r="A4" s="18" t="s">
        <v>44</v>
      </c>
      <c r="B4" s="19" t="s">
        <v>45</v>
      </c>
      <c r="C4" s="20" t="s">
        <v>1017</v>
      </c>
      <c r="E4" s="146" t="s">
        <v>695</v>
      </c>
      <c r="F4" s="147" t="s">
        <v>799</v>
      </c>
      <c r="G4" s="147" t="s">
        <v>611</v>
      </c>
    </row>
    <row r="5" spans="1:20" ht="15.75" customHeight="1" x14ac:dyDescent="0.45">
      <c r="A5" t="s">
        <v>346</v>
      </c>
      <c r="B5" s="35" t="s">
        <v>48</v>
      </c>
      <c r="C5" s="20" t="s">
        <v>838</v>
      </c>
      <c r="E5" s="146"/>
      <c r="F5" s="147"/>
      <c r="G5" s="147"/>
    </row>
    <row r="6" spans="1:20" x14ac:dyDescent="0.45">
      <c r="A6" s="18" t="s">
        <v>46</v>
      </c>
      <c r="B6" s="19" t="s">
        <v>180</v>
      </c>
      <c r="C6" s="20" t="s">
        <v>1018</v>
      </c>
      <c r="E6" s="146"/>
      <c r="F6" s="148" t="s">
        <v>800</v>
      </c>
      <c r="G6" s="147" t="s">
        <v>611</v>
      </c>
    </row>
    <row r="7" spans="1:20" ht="15.75" customHeight="1" x14ac:dyDescent="0.45">
      <c r="A7" t="s">
        <v>347</v>
      </c>
      <c r="B7" s="35" t="s">
        <v>348</v>
      </c>
      <c r="C7" s="20" t="s">
        <v>839</v>
      </c>
      <c r="E7" s="146"/>
      <c r="F7" s="148"/>
      <c r="G7" s="147"/>
      <c r="N7" t="s">
        <v>2122</v>
      </c>
    </row>
    <row r="9" spans="1:20" ht="14.4" x14ac:dyDescent="0.3">
      <c r="A9" s="18" t="s">
        <v>61</v>
      </c>
      <c r="B9" s="18" t="s">
        <v>62</v>
      </c>
      <c r="C9" s="20" t="s">
        <v>801</v>
      </c>
      <c r="D9" s="163" t="s">
        <v>976</v>
      </c>
      <c r="E9" s="143" t="s">
        <v>694</v>
      </c>
      <c r="F9" s="141" t="s">
        <v>699</v>
      </c>
      <c r="G9" s="134" t="s">
        <v>611</v>
      </c>
      <c r="H9" s="164" t="s">
        <v>2105</v>
      </c>
    </row>
    <row r="10" spans="1:20" ht="15.75" customHeight="1" x14ac:dyDescent="0.3">
      <c r="A10" t="s">
        <v>349</v>
      </c>
      <c r="B10" t="s">
        <v>62</v>
      </c>
      <c r="C10" s="20" t="s">
        <v>801</v>
      </c>
      <c r="D10" s="163"/>
      <c r="E10" s="117"/>
      <c r="F10" s="142"/>
      <c r="G10" s="134"/>
      <c r="H10" s="164"/>
      <c r="N10" t="s">
        <v>2123</v>
      </c>
      <c r="T10" t="s">
        <v>2128</v>
      </c>
    </row>
    <row r="11" spans="1:20" ht="14.4" x14ac:dyDescent="0.3">
      <c r="A11" s="18" t="s">
        <v>63</v>
      </c>
      <c r="B11" s="18" t="s">
        <v>64</v>
      </c>
      <c r="C11" s="20" t="s">
        <v>802</v>
      </c>
      <c r="E11" s="117"/>
      <c r="F11" s="136" t="s">
        <v>698</v>
      </c>
      <c r="G11" s="134" t="s">
        <v>611</v>
      </c>
      <c r="H11" s="164" t="s">
        <v>2117</v>
      </c>
      <c r="O11" t="s">
        <v>2106</v>
      </c>
    </row>
    <row r="12" spans="1:20" ht="15.75" customHeight="1" x14ac:dyDescent="0.3">
      <c r="A12" t="s">
        <v>351</v>
      </c>
      <c r="B12" t="s">
        <v>64</v>
      </c>
      <c r="C12" s="20" t="s">
        <v>802</v>
      </c>
      <c r="E12" s="117"/>
      <c r="F12" s="136"/>
      <c r="G12" s="134"/>
      <c r="H12" s="164"/>
      <c r="P12" t="s">
        <v>2118</v>
      </c>
      <c r="T12" t="s">
        <v>2131</v>
      </c>
    </row>
    <row r="13" spans="1:20" ht="14.4" x14ac:dyDescent="0.3">
      <c r="A13" s="18" t="s">
        <v>65</v>
      </c>
      <c r="B13" s="18" t="s">
        <v>66</v>
      </c>
      <c r="C13" s="20" t="s">
        <v>788</v>
      </c>
      <c r="D13" s="163" t="s">
        <v>977</v>
      </c>
      <c r="E13" s="117"/>
      <c r="F13" s="136" t="s">
        <v>700</v>
      </c>
      <c r="G13" s="134" t="s">
        <v>611</v>
      </c>
      <c r="H13" s="164" t="s">
        <v>2115</v>
      </c>
      <c r="P13" t="s">
        <v>2119</v>
      </c>
      <c r="T13" t="s">
        <v>2131</v>
      </c>
    </row>
    <row r="14" spans="1:20" ht="15.75" customHeight="1" x14ac:dyDescent="0.3">
      <c r="A14" t="s">
        <v>352</v>
      </c>
      <c r="B14" t="s">
        <v>66</v>
      </c>
      <c r="C14" s="20" t="s">
        <v>788</v>
      </c>
      <c r="D14" s="163"/>
      <c r="E14" s="117"/>
      <c r="F14" s="136"/>
      <c r="G14" s="134"/>
      <c r="H14" s="164"/>
      <c r="P14" t="s">
        <v>2121</v>
      </c>
      <c r="T14" t="s">
        <v>2131</v>
      </c>
    </row>
    <row r="15" spans="1:20" ht="14.4" x14ac:dyDescent="0.3">
      <c r="A15" s="18" t="s">
        <v>67</v>
      </c>
      <c r="B15" s="18" t="s">
        <v>68</v>
      </c>
      <c r="C15" s="20" t="s">
        <v>803</v>
      </c>
      <c r="E15" s="117"/>
      <c r="F15" s="136" t="s">
        <v>701</v>
      </c>
      <c r="G15" s="134" t="s">
        <v>611</v>
      </c>
      <c r="H15" s="164" t="s">
        <v>2114</v>
      </c>
      <c r="O15" t="s">
        <v>2107</v>
      </c>
    </row>
    <row r="16" spans="1:20" ht="15.75" customHeight="1" x14ac:dyDescent="0.3">
      <c r="A16" t="s">
        <v>353</v>
      </c>
      <c r="B16" t="s">
        <v>68</v>
      </c>
      <c r="C16" s="20" t="s">
        <v>803</v>
      </c>
      <c r="E16" s="117"/>
      <c r="F16" s="136"/>
      <c r="G16" s="134"/>
      <c r="H16" s="164"/>
      <c r="P16" t="s">
        <v>2108</v>
      </c>
      <c r="T16" t="s">
        <v>2131</v>
      </c>
    </row>
    <row r="17" spans="1:21" ht="14.4" x14ac:dyDescent="0.3">
      <c r="A17" s="18" t="s">
        <v>69</v>
      </c>
      <c r="B17" s="18" t="s">
        <v>70</v>
      </c>
      <c r="C17" s="20" t="s">
        <v>794</v>
      </c>
      <c r="D17" s="163" t="s">
        <v>978</v>
      </c>
      <c r="E17" s="117"/>
      <c r="F17" s="135" t="s">
        <v>795</v>
      </c>
      <c r="G17" s="134" t="s">
        <v>611</v>
      </c>
      <c r="H17" s="164" t="s">
        <v>2116</v>
      </c>
      <c r="P17" t="s">
        <v>2109</v>
      </c>
      <c r="T17" t="s">
        <v>2131</v>
      </c>
    </row>
    <row r="18" spans="1:21" ht="15.75" customHeight="1" x14ac:dyDescent="0.3">
      <c r="A18" t="s">
        <v>354</v>
      </c>
      <c r="B18" t="s">
        <v>70</v>
      </c>
      <c r="C18" s="20" t="s">
        <v>794</v>
      </c>
      <c r="D18" s="163"/>
      <c r="E18" s="117"/>
      <c r="F18" s="135"/>
      <c r="G18" s="134"/>
      <c r="H18" s="164"/>
      <c r="P18" t="s">
        <v>2110</v>
      </c>
      <c r="T18" t="s">
        <v>2131</v>
      </c>
    </row>
    <row r="19" spans="1:21" ht="14.4" x14ac:dyDescent="0.3">
      <c r="A19" s="18" t="s">
        <v>71</v>
      </c>
      <c r="B19" s="18" t="s">
        <v>72</v>
      </c>
      <c r="C19" s="20" t="s">
        <v>796</v>
      </c>
      <c r="D19" s="163" t="s">
        <v>979</v>
      </c>
      <c r="E19" s="117"/>
      <c r="F19" s="135" t="s">
        <v>797</v>
      </c>
      <c r="G19" s="134" t="s">
        <v>611</v>
      </c>
      <c r="H19" s="164" t="s">
        <v>2113</v>
      </c>
      <c r="P19" t="s">
        <v>2111</v>
      </c>
      <c r="T19" t="s">
        <v>2131</v>
      </c>
    </row>
    <row r="20" spans="1:21" ht="15.75" customHeight="1" x14ac:dyDescent="0.3">
      <c r="A20" t="s">
        <v>355</v>
      </c>
      <c r="B20" t="s">
        <v>72</v>
      </c>
      <c r="C20" s="20" t="s">
        <v>796</v>
      </c>
      <c r="D20" s="163"/>
      <c r="E20" s="117"/>
      <c r="F20" s="135"/>
      <c r="G20" s="134"/>
      <c r="H20" s="164"/>
      <c r="O20" t="s">
        <v>2124</v>
      </c>
    </row>
    <row r="21" spans="1:21" ht="14.4" x14ac:dyDescent="0.3">
      <c r="A21" s="18" t="s">
        <v>73</v>
      </c>
      <c r="B21" s="18" t="s">
        <v>74</v>
      </c>
      <c r="C21" s="20" t="s">
        <v>804</v>
      </c>
      <c r="D21" s="163" t="s">
        <v>980</v>
      </c>
      <c r="E21" s="117"/>
      <c r="F21" s="136" t="s">
        <v>702</v>
      </c>
      <c r="G21" s="134" t="s">
        <v>611</v>
      </c>
      <c r="H21" s="164" t="s">
        <v>2112</v>
      </c>
      <c r="P21" t="s">
        <v>2125</v>
      </c>
      <c r="T21" t="s">
        <v>2126</v>
      </c>
      <c r="U21" t="s">
        <v>2127</v>
      </c>
    </row>
    <row r="22" spans="1:21" ht="15.75" customHeight="1" x14ac:dyDescent="0.3">
      <c r="A22" t="s">
        <v>356</v>
      </c>
      <c r="B22" t="s">
        <v>74</v>
      </c>
      <c r="C22" s="20" t="s">
        <v>804</v>
      </c>
      <c r="D22" s="163"/>
      <c r="E22" s="117"/>
      <c r="F22" s="136"/>
      <c r="G22" s="134"/>
      <c r="H22" s="164"/>
      <c r="P22" t="s">
        <v>2148</v>
      </c>
      <c r="T22" t="s">
        <v>2129</v>
      </c>
      <c r="U22" t="s">
        <v>2130</v>
      </c>
    </row>
    <row r="23" spans="1:21" ht="14.4" x14ac:dyDescent="0.3">
      <c r="A23" s="18" t="s">
        <v>75</v>
      </c>
      <c r="B23" s="18" t="s">
        <v>554</v>
      </c>
      <c r="C23" s="20" t="s">
        <v>805</v>
      </c>
      <c r="D23" s="163" t="s">
        <v>981</v>
      </c>
      <c r="E23" s="117"/>
      <c r="F23" s="136" t="s">
        <v>703</v>
      </c>
      <c r="G23" s="134" t="s">
        <v>611</v>
      </c>
      <c r="H23" s="164" t="s">
        <v>2120</v>
      </c>
      <c r="O23" t="s">
        <v>2132</v>
      </c>
    </row>
    <row r="24" spans="1:21" ht="15.75" customHeight="1" x14ac:dyDescent="0.45">
      <c r="A24" t="s">
        <v>357</v>
      </c>
      <c r="B24" t="s">
        <v>554</v>
      </c>
      <c r="C24" s="20" t="s">
        <v>805</v>
      </c>
      <c r="D24" s="163"/>
      <c r="E24" s="117"/>
      <c r="F24" s="136"/>
      <c r="G24" s="134"/>
      <c r="P24" t="s">
        <v>2133</v>
      </c>
      <c r="T24" t="s">
        <v>2131</v>
      </c>
    </row>
    <row r="25" spans="1:21" x14ac:dyDescent="0.45">
      <c r="A25" s="18" t="s">
        <v>76</v>
      </c>
      <c r="B25" s="18" t="s">
        <v>77</v>
      </c>
      <c r="C25" s="20" t="s">
        <v>807</v>
      </c>
      <c r="D25" s="163" t="s">
        <v>982</v>
      </c>
      <c r="E25" s="117"/>
      <c r="F25" s="136" t="s">
        <v>704</v>
      </c>
      <c r="G25" s="134" t="s">
        <v>611</v>
      </c>
      <c r="P25" t="s">
        <v>2134</v>
      </c>
      <c r="T25" t="s">
        <v>2131</v>
      </c>
    </row>
    <row r="26" spans="1:21" ht="15.75" customHeight="1" x14ac:dyDescent="0.45">
      <c r="A26" t="s">
        <v>360</v>
      </c>
      <c r="B26" t="s">
        <v>77</v>
      </c>
      <c r="C26" s="20" t="s">
        <v>807</v>
      </c>
      <c r="D26" s="163"/>
      <c r="E26" s="117"/>
      <c r="F26" s="136"/>
      <c r="G26" s="134"/>
      <c r="O26" t="s">
        <v>2135</v>
      </c>
    </row>
    <row r="27" spans="1:21" x14ac:dyDescent="0.45">
      <c r="A27" s="18" t="s">
        <v>78</v>
      </c>
      <c r="B27" s="18" t="s">
        <v>79</v>
      </c>
      <c r="C27" s="20" t="s">
        <v>808</v>
      </c>
      <c r="D27" s="163" t="s">
        <v>983</v>
      </c>
      <c r="E27" s="117"/>
      <c r="F27" s="136" t="s">
        <v>2080</v>
      </c>
      <c r="G27" s="134" t="s">
        <v>611</v>
      </c>
      <c r="P27" t="s">
        <v>626</v>
      </c>
      <c r="T27" t="s">
        <v>2131</v>
      </c>
    </row>
    <row r="28" spans="1:21" ht="15.75" customHeight="1" x14ac:dyDescent="0.45">
      <c r="A28" t="s">
        <v>361</v>
      </c>
      <c r="B28" t="s">
        <v>79</v>
      </c>
      <c r="C28" s="20" t="s">
        <v>808</v>
      </c>
      <c r="D28" s="163"/>
      <c r="E28" s="118"/>
      <c r="F28" s="136"/>
      <c r="G28" s="134"/>
      <c r="P28" t="s">
        <v>643</v>
      </c>
      <c r="T28" t="s">
        <v>2131</v>
      </c>
    </row>
    <row r="29" spans="1:21" x14ac:dyDescent="0.45">
      <c r="A29" s="18" t="s">
        <v>80</v>
      </c>
      <c r="B29" s="18" t="s">
        <v>81</v>
      </c>
      <c r="C29" s="20" t="s">
        <v>809</v>
      </c>
      <c r="E29" s="144" t="s">
        <v>695</v>
      </c>
      <c r="F29" s="139" t="s">
        <v>705</v>
      </c>
      <c r="G29" s="153" t="s">
        <v>873</v>
      </c>
      <c r="P29" t="s">
        <v>651</v>
      </c>
    </row>
    <row r="30" spans="1:21" ht="15.75" customHeight="1" x14ac:dyDescent="0.45">
      <c r="A30" t="s">
        <v>362</v>
      </c>
      <c r="B30" t="s">
        <v>81</v>
      </c>
      <c r="C30" s="20" t="s">
        <v>809</v>
      </c>
      <c r="E30" s="145"/>
      <c r="F30" s="140"/>
      <c r="G30" s="154"/>
      <c r="P30" t="s">
        <v>653</v>
      </c>
    </row>
    <row r="31" spans="1:21" x14ac:dyDescent="0.45">
      <c r="A31" s="18" t="s">
        <v>82</v>
      </c>
      <c r="B31" s="18" t="s">
        <v>83</v>
      </c>
      <c r="C31" s="20" t="s">
        <v>810</v>
      </c>
      <c r="D31" s="163" t="s">
        <v>984</v>
      </c>
      <c r="E31" s="143" t="s">
        <v>694</v>
      </c>
      <c r="F31" s="141" t="s">
        <v>706</v>
      </c>
      <c r="G31" s="151" t="s">
        <v>611</v>
      </c>
      <c r="P31" t="s">
        <v>684</v>
      </c>
    </row>
    <row r="32" spans="1:21" ht="15.75" customHeight="1" x14ac:dyDescent="0.45">
      <c r="A32" t="s">
        <v>363</v>
      </c>
      <c r="B32" t="s">
        <v>83</v>
      </c>
      <c r="C32" s="20" t="s">
        <v>810</v>
      </c>
      <c r="D32" s="163"/>
      <c r="E32" s="118"/>
      <c r="F32" s="142"/>
      <c r="G32" s="152"/>
    </row>
    <row r="34" spans="1:7" x14ac:dyDescent="0.45">
      <c r="A34" s="18" t="s">
        <v>99</v>
      </c>
      <c r="B34" s="19" t="s">
        <v>201</v>
      </c>
      <c r="C34" s="20" t="s">
        <v>855</v>
      </c>
      <c r="D34" s="32" t="s">
        <v>187</v>
      </c>
      <c r="E34" s="144" t="s">
        <v>695</v>
      </c>
      <c r="F34" s="149" t="s">
        <v>709</v>
      </c>
      <c r="G34" s="150" t="s">
        <v>614</v>
      </c>
    </row>
    <row r="35" spans="1:7" ht="15.75" customHeight="1" x14ac:dyDescent="0.45">
      <c r="A35" t="s">
        <v>358</v>
      </c>
      <c r="B35" s="35" t="s">
        <v>359</v>
      </c>
      <c r="C35" s="20" t="s">
        <v>806</v>
      </c>
      <c r="E35" s="145"/>
      <c r="F35" s="149"/>
      <c r="G35" s="150"/>
    </row>
    <row r="37" spans="1:7" x14ac:dyDescent="0.45">
      <c r="A37" s="18" t="s">
        <v>107</v>
      </c>
      <c r="B37" s="18" t="s">
        <v>108</v>
      </c>
      <c r="C37" s="20" t="s">
        <v>831</v>
      </c>
      <c r="D37" s="163" t="s">
        <v>993</v>
      </c>
      <c r="E37" s="137" t="s">
        <v>694</v>
      </c>
      <c r="F37" s="136" t="s">
        <v>711</v>
      </c>
      <c r="G37" s="134" t="s">
        <v>611</v>
      </c>
    </row>
    <row r="38" spans="1:7" ht="15.75" customHeight="1" x14ac:dyDescent="0.45">
      <c r="A38" t="s">
        <v>406</v>
      </c>
      <c r="B38" t="s">
        <v>108</v>
      </c>
      <c r="C38" s="20" t="s">
        <v>831</v>
      </c>
      <c r="D38" s="163"/>
      <c r="E38" s="138"/>
      <c r="F38" s="136"/>
      <c r="G38" s="134"/>
    </row>
    <row r="39" spans="1:7" x14ac:dyDescent="0.45">
      <c r="A39" s="18" t="s">
        <v>109</v>
      </c>
      <c r="B39" s="18" t="s">
        <v>110</v>
      </c>
      <c r="C39" s="20" t="s">
        <v>566</v>
      </c>
      <c r="D39" s="163" t="s">
        <v>994</v>
      </c>
      <c r="E39" s="138"/>
      <c r="F39" s="136" t="s">
        <v>712</v>
      </c>
      <c r="G39" s="134" t="s">
        <v>611</v>
      </c>
    </row>
    <row r="40" spans="1:7" ht="15.75" customHeight="1" x14ac:dyDescent="0.45">
      <c r="A40" t="s">
        <v>407</v>
      </c>
      <c r="B40" t="s">
        <v>110</v>
      </c>
      <c r="C40" s="20" t="s">
        <v>566</v>
      </c>
      <c r="D40" s="163"/>
      <c r="E40" s="138"/>
      <c r="F40" s="136"/>
      <c r="G40" s="134"/>
    </row>
    <row r="41" spans="1:7" x14ac:dyDescent="0.45">
      <c r="A41" s="18" t="s">
        <v>111</v>
      </c>
      <c r="B41" s="18" t="s">
        <v>112</v>
      </c>
      <c r="C41" s="20" t="s">
        <v>832</v>
      </c>
      <c r="D41" s="163" t="s">
        <v>995</v>
      </c>
      <c r="E41" s="138"/>
      <c r="F41" s="136" t="s">
        <v>717</v>
      </c>
      <c r="G41" s="134" t="s">
        <v>611</v>
      </c>
    </row>
    <row r="42" spans="1:7" ht="15.75" customHeight="1" x14ac:dyDescent="0.45">
      <c r="A42" t="s">
        <v>408</v>
      </c>
      <c r="B42" t="s">
        <v>112</v>
      </c>
      <c r="C42" s="20" t="s">
        <v>832</v>
      </c>
      <c r="D42" s="163"/>
      <c r="E42" s="138"/>
      <c r="F42" s="136"/>
      <c r="G42" s="134"/>
    </row>
    <row r="43" spans="1:7" x14ac:dyDescent="0.45">
      <c r="A43" s="18" t="s">
        <v>113</v>
      </c>
      <c r="B43" s="18" t="s">
        <v>207</v>
      </c>
      <c r="C43" s="20" t="s">
        <v>833</v>
      </c>
      <c r="D43" s="163" t="s">
        <v>996</v>
      </c>
      <c r="E43" s="138"/>
      <c r="F43" s="136" t="s">
        <v>713</v>
      </c>
      <c r="G43" s="134" t="s">
        <v>611</v>
      </c>
    </row>
    <row r="44" spans="1:7" ht="15.75" customHeight="1" x14ac:dyDescent="0.45">
      <c r="A44" t="s">
        <v>409</v>
      </c>
      <c r="B44" t="s">
        <v>207</v>
      </c>
      <c r="C44" s="20" t="s">
        <v>833</v>
      </c>
      <c r="D44" s="163"/>
      <c r="E44" s="138"/>
      <c r="F44" s="136"/>
      <c r="G44" s="134"/>
    </row>
    <row r="45" spans="1:7" x14ac:dyDescent="0.45">
      <c r="A45" s="18" t="s">
        <v>114</v>
      </c>
      <c r="B45" s="18" t="s">
        <v>115</v>
      </c>
      <c r="C45" s="20" t="s">
        <v>834</v>
      </c>
      <c r="D45" s="163" t="s">
        <v>997</v>
      </c>
      <c r="E45" s="138"/>
      <c r="F45" s="136" t="s">
        <v>714</v>
      </c>
      <c r="G45" s="134" t="s">
        <v>611</v>
      </c>
    </row>
    <row r="46" spans="1:7" ht="15.75" customHeight="1" x14ac:dyDescent="0.45">
      <c r="A46" t="s">
        <v>410</v>
      </c>
      <c r="B46" t="s">
        <v>115</v>
      </c>
      <c r="C46" s="20" t="s">
        <v>834</v>
      </c>
      <c r="D46" s="163"/>
      <c r="E46" s="138"/>
      <c r="F46" s="136"/>
      <c r="G46" s="134"/>
    </row>
    <row r="47" spans="1:7" x14ac:dyDescent="0.45">
      <c r="A47" s="18" t="s">
        <v>116</v>
      </c>
      <c r="B47" s="18" t="s">
        <v>117</v>
      </c>
      <c r="C47" s="20" t="s">
        <v>835</v>
      </c>
      <c r="D47" s="163" t="s">
        <v>998</v>
      </c>
      <c r="E47" s="138"/>
      <c r="F47" s="136" t="s">
        <v>864</v>
      </c>
      <c r="G47" s="134" t="s">
        <v>611</v>
      </c>
    </row>
    <row r="48" spans="1:7" ht="15.75" customHeight="1" x14ac:dyDescent="0.45">
      <c r="A48" t="s">
        <v>412</v>
      </c>
      <c r="B48" t="s">
        <v>117</v>
      </c>
      <c r="C48" s="20" t="s">
        <v>835</v>
      </c>
      <c r="D48" s="163"/>
      <c r="E48" s="138"/>
      <c r="F48" s="136"/>
      <c r="G48" s="134"/>
    </row>
    <row r="49" spans="1:8" x14ac:dyDescent="0.45">
      <c r="A49" s="18" t="s">
        <v>118</v>
      </c>
      <c r="B49" s="18" t="s">
        <v>208</v>
      </c>
      <c r="C49" s="20" t="s">
        <v>836</v>
      </c>
      <c r="D49" s="163" t="s">
        <v>999</v>
      </c>
      <c r="E49" s="138"/>
      <c r="F49" s="136" t="s">
        <v>715</v>
      </c>
      <c r="G49" s="134" t="s">
        <v>611</v>
      </c>
    </row>
    <row r="50" spans="1:8" ht="15.75" customHeight="1" x14ac:dyDescent="0.45">
      <c r="A50" t="s">
        <v>413</v>
      </c>
      <c r="B50" t="s">
        <v>208</v>
      </c>
      <c r="C50" s="20" t="s">
        <v>836</v>
      </c>
      <c r="D50" s="163"/>
      <c r="E50" s="138"/>
      <c r="F50" s="136"/>
      <c r="G50" s="134"/>
    </row>
    <row r="51" spans="1:8" x14ac:dyDescent="0.45">
      <c r="A51" s="18" t="s">
        <v>119</v>
      </c>
      <c r="B51" s="18" t="s">
        <v>120</v>
      </c>
      <c r="C51" s="20" t="s">
        <v>860</v>
      </c>
      <c r="D51" s="163" t="s">
        <v>1000</v>
      </c>
      <c r="E51" s="138"/>
      <c r="F51" s="135" t="s">
        <v>798</v>
      </c>
      <c r="G51" s="134" t="s">
        <v>611</v>
      </c>
    </row>
    <row r="52" spans="1:8" ht="15.75" customHeight="1" x14ac:dyDescent="0.45">
      <c r="A52" t="s">
        <v>414</v>
      </c>
      <c r="B52" t="s">
        <v>120</v>
      </c>
      <c r="C52" s="20" t="s">
        <v>860</v>
      </c>
      <c r="D52" s="163"/>
      <c r="E52" s="138"/>
      <c r="F52" s="135"/>
      <c r="G52" s="134"/>
    </row>
    <row r="53" spans="1:8" x14ac:dyDescent="0.45">
      <c r="A53" s="18" t="s">
        <v>121</v>
      </c>
      <c r="B53" s="18" t="s">
        <v>122</v>
      </c>
      <c r="C53" s="20" t="s">
        <v>837</v>
      </c>
      <c r="D53" s="163" t="s">
        <v>1001</v>
      </c>
      <c r="E53" s="138"/>
      <c r="F53" s="136" t="s">
        <v>716</v>
      </c>
      <c r="G53" s="134" t="s">
        <v>611</v>
      </c>
    </row>
    <row r="54" spans="1:8" ht="15.75" customHeight="1" x14ac:dyDescent="0.45">
      <c r="A54" t="s">
        <v>415</v>
      </c>
      <c r="B54" t="s">
        <v>122</v>
      </c>
      <c r="C54" s="20" t="s">
        <v>837</v>
      </c>
      <c r="D54" s="163"/>
      <c r="E54" s="138"/>
      <c r="F54" s="136"/>
      <c r="G54" s="134"/>
    </row>
    <row r="56" spans="1:8" x14ac:dyDescent="0.45">
      <c r="E56" s="105" t="s">
        <v>790</v>
      </c>
      <c r="F56" s="105"/>
      <c r="G56" s="28" t="s">
        <v>613</v>
      </c>
    </row>
    <row r="57" spans="1:8" ht="24" thickBot="1" x14ac:dyDescent="0.5">
      <c r="A57" s="36" t="s">
        <v>177</v>
      </c>
      <c r="B57" s="36" t="s">
        <v>178</v>
      </c>
      <c r="C57" s="37" t="s">
        <v>609</v>
      </c>
      <c r="E57" s="59" t="s">
        <v>2096</v>
      </c>
      <c r="F57" s="60" t="s">
        <v>731</v>
      </c>
      <c r="G57" s="60"/>
    </row>
    <row r="58" spans="1:8" ht="24" thickTop="1" x14ac:dyDescent="0.45">
      <c r="A58" s="18" t="s">
        <v>47</v>
      </c>
      <c r="B58" s="18" t="s">
        <v>182</v>
      </c>
      <c r="C58" s="20" t="s">
        <v>840</v>
      </c>
      <c r="D58" s="32" t="s">
        <v>616</v>
      </c>
      <c r="E58" s="109" t="s">
        <v>694</v>
      </c>
      <c r="F58" s="61" t="s">
        <v>2097</v>
      </c>
      <c r="G58" s="62"/>
    </row>
    <row r="59" spans="1:8" x14ac:dyDescent="0.45">
      <c r="A59" s="18" t="s">
        <v>49</v>
      </c>
      <c r="B59" s="18" t="s">
        <v>183</v>
      </c>
      <c r="C59" s="20" t="s">
        <v>841</v>
      </c>
      <c r="D59" s="32" t="s">
        <v>616</v>
      </c>
      <c r="E59" s="110"/>
      <c r="F59" s="63" t="s">
        <v>2098</v>
      </c>
      <c r="G59" s="64"/>
    </row>
    <row r="60" spans="1:8" ht="30" customHeight="1" x14ac:dyDescent="0.45">
      <c r="A60" s="18" t="s">
        <v>50</v>
      </c>
      <c r="B60" s="18" t="s">
        <v>184</v>
      </c>
      <c r="C60" s="20" t="s">
        <v>842</v>
      </c>
      <c r="D60" s="32" t="s">
        <v>616</v>
      </c>
      <c r="E60" s="110"/>
      <c r="F60" s="65" t="s">
        <v>2099</v>
      </c>
      <c r="G60" s="66"/>
    </row>
    <row r="61" spans="1:8" x14ac:dyDescent="0.45">
      <c r="A61" s="18" t="s">
        <v>51</v>
      </c>
      <c r="B61" s="18" t="s">
        <v>593</v>
      </c>
      <c r="C61" s="20" t="s">
        <v>594</v>
      </c>
      <c r="D61" s="32" t="s">
        <v>2052</v>
      </c>
      <c r="E61" s="119"/>
      <c r="F61" s="27" t="s">
        <v>923</v>
      </c>
      <c r="G61" s="25" t="s">
        <v>611</v>
      </c>
    </row>
    <row r="62" spans="1:8" ht="24" thickBot="1" x14ac:dyDescent="0.5">
      <c r="A62" s="18" t="s">
        <v>52</v>
      </c>
      <c r="B62" s="18" t="s">
        <v>186</v>
      </c>
      <c r="C62" s="20" t="s">
        <v>843</v>
      </c>
      <c r="D62" s="32" t="s">
        <v>617</v>
      </c>
      <c r="E62" s="71" t="s">
        <v>695</v>
      </c>
      <c r="F62" s="69" t="s">
        <v>924</v>
      </c>
      <c r="G62" s="70" t="s">
        <v>614</v>
      </c>
    </row>
    <row r="63" spans="1:8" ht="43.8" thickTop="1" x14ac:dyDescent="0.3">
      <c r="A63" s="18" t="s">
        <v>54</v>
      </c>
      <c r="B63" s="18" t="s">
        <v>189</v>
      </c>
      <c r="C63" s="20" t="s">
        <v>844</v>
      </c>
      <c r="D63" s="33" t="s">
        <v>615</v>
      </c>
      <c r="E63" s="67" t="s">
        <v>694</v>
      </c>
      <c r="F63" s="34" t="s">
        <v>925</v>
      </c>
      <c r="G63" s="25" t="s">
        <v>611</v>
      </c>
      <c r="H63" s="164" t="s">
        <v>2160</v>
      </c>
    </row>
    <row r="64" spans="1:8" ht="24" thickBot="1" x14ac:dyDescent="0.5">
      <c r="A64" s="18" t="s">
        <v>55</v>
      </c>
      <c r="B64" s="18" t="s">
        <v>612</v>
      </c>
      <c r="C64" s="20" t="s">
        <v>845</v>
      </c>
      <c r="D64" s="32" t="s">
        <v>2053</v>
      </c>
      <c r="E64" s="71" t="s">
        <v>695</v>
      </c>
      <c r="F64" s="69" t="s">
        <v>926</v>
      </c>
      <c r="G64" s="70" t="s">
        <v>873</v>
      </c>
    </row>
    <row r="65" spans="1:7" ht="24" thickTop="1" x14ac:dyDescent="0.45">
      <c r="A65" s="18" t="s">
        <v>56</v>
      </c>
      <c r="B65" s="18" t="s">
        <v>192</v>
      </c>
      <c r="C65" s="20" t="s">
        <v>846</v>
      </c>
      <c r="D65" s="32" t="s">
        <v>985</v>
      </c>
      <c r="E65" s="67" t="s">
        <v>694</v>
      </c>
      <c r="F65" s="34" t="s">
        <v>927</v>
      </c>
      <c r="G65" s="25" t="s">
        <v>611</v>
      </c>
    </row>
    <row r="66" spans="1:7" ht="24" thickBot="1" x14ac:dyDescent="0.5">
      <c r="A66" s="18" t="s">
        <v>58</v>
      </c>
      <c r="B66" s="18" t="s">
        <v>59</v>
      </c>
      <c r="C66" s="20" t="s">
        <v>847</v>
      </c>
      <c r="E66" s="71" t="s">
        <v>695</v>
      </c>
      <c r="F66" s="69" t="s">
        <v>928</v>
      </c>
      <c r="G66" s="72" t="s">
        <v>611</v>
      </c>
    </row>
    <row r="67" spans="1:7" ht="24" thickTop="1" x14ac:dyDescent="0.45">
      <c r="A67" s="18" t="s">
        <v>60</v>
      </c>
      <c r="B67" s="18" t="s">
        <v>193</v>
      </c>
      <c r="C67" s="20" t="s">
        <v>567</v>
      </c>
      <c r="E67" s="109" t="s">
        <v>694</v>
      </c>
      <c r="F67" s="34" t="s">
        <v>696</v>
      </c>
      <c r="G67" s="34"/>
    </row>
    <row r="68" spans="1:7" x14ac:dyDescent="0.45">
      <c r="A68" s="18" t="s">
        <v>85</v>
      </c>
      <c r="B68" s="18" t="s">
        <v>86</v>
      </c>
      <c r="C68" s="20" t="s">
        <v>848</v>
      </c>
      <c r="D68" s="32" t="s">
        <v>2054</v>
      </c>
      <c r="E68" s="110"/>
      <c r="F68" s="27" t="s">
        <v>929</v>
      </c>
      <c r="G68" s="25" t="s">
        <v>611</v>
      </c>
    </row>
    <row r="69" spans="1:7" x14ac:dyDescent="0.45">
      <c r="A69" s="18" t="s">
        <v>87</v>
      </c>
      <c r="B69" s="18" t="s">
        <v>88</v>
      </c>
      <c r="C69" s="20" t="s">
        <v>849</v>
      </c>
      <c r="D69" s="32" t="s">
        <v>604</v>
      </c>
      <c r="E69" s="111" t="s">
        <v>695</v>
      </c>
      <c r="F69" s="73" t="s">
        <v>930</v>
      </c>
      <c r="G69" s="72" t="s">
        <v>873</v>
      </c>
    </row>
    <row r="70" spans="1:7" ht="24" thickBot="1" x14ac:dyDescent="0.5">
      <c r="A70" s="18" t="s">
        <v>89</v>
      </c>
      <c r="B70" s="18" t="s">
        <v>90</v>
      </c>
      <c r="C70" s="20" t="s">
        <v>850</v>
      </c>
      <c r="D70" s="32" t="s">
        <v>604</v>
      </c>
      <c r="E70" s="112"/>
      <c r="F70" s="73" t="s">
        <v>931</v>
      </c>
      <c r="G70" s="70" t="s">
        <v>873</v>
      </c>
    </row>
    <row r="71" spans="1:7" ht="24" thickTop="1" x14ac:dyDescent="0.45">
      <c r="A71" s="18" t="s">
        <v>91</v>
      </c>
      <c r="B71" s="18" t="s">
        <v>92</v>
      </c>
      <c r="C71" s="20" t="s">
        <v>851</v>
      </c>
      <c r="D71" s="32" t="s">
        <v>2055</v>
      </c>
      <c r="E71" s="109" t="s">
        <v>694</v>
      </c>
      <c r="F71" s="27" t="s">
        <v>932</v>
      </c>
      <c r="G71" s="25" t="s">
        <v>611</v>
      </c>
    </row>
    <row r="72" spans="1:7" x14ac:dyDescent="0.45">
      <c r="A72" s="18" t="s">
        <v>93</v>
      </c>
      <c r="B72" s="18" t="s">
        <v>94</v>
      </c>
      <c r="C72" s="20" t="s">
        <v>852</v>
      </c>
      <c r="D72" s="32" t="s">
        <v>984</v>
      </c>
      <c r="E72" s="110"/>
      <c r="F72" s="27" t="s">
        <v>933</v>
      </c>
      <c r="G72" s="25" t="s">
        <v>611</v>
      </c>
    </row>
    <row r="73" spans="1:7" x14ac:dyDescent="0.45">
      <c r="A73" s="18" t="s">
        <v>95</v>
      </c>
      <c r="B73" s="18" t="s">
        <v>96</v>
      </c>
      <c r="C73" s="20" t="s">
        <v>853</v>
      </c>
      <c r="D73" s="32" t="s">
        <v>187</v>
      </c>
      <c r="E73" s="111" t="s">
        <v>695</v>
      </c>
      <c r="F73" s="73" t="s">
        <v>707</v>
      </c>
      <c r="G73" s="72" t="s">
        <v>614</v>
      </c>
    </row>
    <row r="74" spans="1:7" ht="24" thickBot="1" x14ac:dyDescent="0.5">
      <c r="A74" s="18" t="s">
        <v>97</v>
      </c>
      <c r="B74" s="18" t="s">
        <v>98</v>
      </c>
      <c r="C74" s="20" t="s">
        <v>854</v>
      </c>
      <c r="D74" s="32" t="s">
        <v>605</v>
      </c>
      <c r="E74" s="112"/>
      <c r="F74" s="73" t="s">
        <v>708</v>
      </c>
      <c r="G74" s="70" t="s">
        <v>614</v>
      </c>
    </row>
    <row r="75" spans="1:7" ht="24" thickTop="1" x14ac:dyDescent="0.45">
      <c r="A75" s="18" t="s">
        <v>101</v>
      </c>
      <c r="B75" s="18" t="s">
        <v>102</v>
      </c>
      <c r="C75" s="20" t="s">
        <v>856</v>
      </c>
      <c r="D75" s="32" t="s">
        <v>2056</v>
      </c>
      <c r="E75" s="67" t="s">
        <v>694</v>
      </c>
      <c r="F75" s="27" t="s">
        <v>710</v>
      </c>
      <c r="G75" s="25" t="s">
        <v>611</v>
      </c>
    </row>
    <row r="76" spans="1:7" ht="24" thickBot="1" x14ac:dyDescent="0.5">
      <c r="A76" s="18" t="s">
        <v>103</v>
      </c>
      <c r="B76" s="18" t="s">
        <v>104</v>
      </c>
      <c r="C76" s="20" t="s">
        <v>857</v>
      </c>
      <c r="D76" s="32" t="s">
        <v>187</v>
      </c>
      <c r="E76" s="68" t="s">
        <v>695</v>
      </c>
      <c r="F76" s="69" t="s">
        <v>938</v>
      </c>
      <c r="G76" s="72" t="s">
        <v>614</v>
      </c>
    </row>
    <row r="77" spans="1:7" ht="24" thickTop="1" x14ac:dyDescent="0.45">
      <c r="A77" s="18" t="s">
        <v>105</v>
      </c>
      <c r="B77" s="18" t="s">
        <v>203</v>
      </c>
      <c r="C77" s="20" t="s">
        <v>858</v>
      </c>
      <c r="D77" s="32" t="s">
        <v>999</v>
      </c>
      <c r="E77" s="67" t="s">
        <v>694</v>
      </c>
      <c r="F77" s="27" t="s">
        <v>934</v>
      </c>
      <c r="G77" s="25" t="s">
        <v>611</v>
      </c>
    </row>
    <row r="78" spans="1:7" x14ac:dyDescent="0.45">
      <c r="A78" s="18" t="s">
        <v>106</v>
      </c>
      <c r="B78" s="18" t="s">
        <v>204</v>
      </c>
      <c r="C78" s="20" t="s">
        <v>859</v>
      </c>
      <c r="E78" s="111" t="s">
        <v>695</v>
      </c>
      <c r="F78" s="73" t="s">
        <v>935</v>
      </c>
      <c r="G78" s="70" t="s">
        <v>618</v>
      </c>
    </row>
    <row r="79" spans="1:7" ht="24" thickBot="1" x14ac:dyDescent="0.5">
      <c r="A79" s="18" t="s">
        <v>123</v>
      </c>
      <c r="B79" s="18" t="s">
        <v>124</v>
      </c>
      <c r="C79" s="20" t="s">
        <v>568</v>
      </c>
      <c r="D79" s="32" t="s">
        <v>604</v>
      </c>
      <c r="E79" s="116"/>
      <c r="F79" s="73" t="s">
        <v>936</v>
      </c>
      <c r="G79" s="70" t="s">
        <v>873</v>
      </c>
    </row>
    <row r="80" spans="1:7" ht="24" thickTop="1" x14ac:dyDescent="0.45">
      <c r="A80" s="18" t="s">
        <v>125</v>
      </c>
      <c r="B80" s="18" t="s">
        <v>126</v>
      </c>
      <c r="C80" s="20" t="s">
        <v>619</v>
      </c>
      <c r="D80" s="32" t="s">
        <v>2057</v>
      </c>
      <c r="E80" s="67" t="s">
        <v>694</v>
      </c>
      <c r="F80" s="27" t="s">
        <v>937</v>
      </c>
      <c r="G80" s="25" t="s">
        <v>611</v>
      </c>
    </row>
    <row r="81" spans="1:7" x14ac:dyDescent="0.45">
      <c r="A81" s="18" t="s">
        <v>127</v>
      </c>
      <c r="B81" s="18" t="s">
        <v>8</v>
      </c>
      <c r="C81" s="20" t="s">
        <v>573</v>
      </c>
      <c r="E81" s="106" t="s">
        <v>620</v>
      </c>
      <c r="F81" s="106"/>
      <c r="G81" s="105" t="s">
        <v>611</v>
      </c>
    </row>
    <row r="82" spans="1:7" x14ac:dyDescent="0.45">
      <c r="A82" s="18" t="s">
        <v>128</v>
      </c>
      <c r="B82" s="18" t="s">
        <v>9</v>
      </c>
      <c r="C82" s="20" t="s">
        <v>601</v>
      </c>
      <c r="E82" s="107"/>
      <c r="F82" s="108"/>
      <c r="G82" s="125"/>
    </row>
    <row r="83" spans="1:7" x14ac:dyDescent="0.45">
      <c r="E83" s="54"/>
      <c r="F83" s="23"/>
      <c r="G83" s="23"/>
    </row>
    <row r="84" spans="1:7" x14ac:dyDescent="0.45">
      <c r="E84" s="105" t="s">
        <v>868</v>
      </c>
      <c r="F84" s="105"/>
      <c r="G84" s="28" t="s">
        <v>613</v>
      </c>
    </row>
    <row r="85" spans="1:7" ht="24" thickBot="1" x14ac:dyDescent="0.5">
      <c r="A85" s="38" t="s">
        <v>344</v>
      </c>
      <c r="B85" s="38" t="s">
        <v>345</v>
      </c>
      <c r="C85" s="38" t="s">
        <v>793</v>
      </c>
      <c r="E85" s="59" t="s">
        <v>2096</v>
      </c>
      <c r="F85" s="60" t="s">
        <v>866</v>
      </c>
      <c r="G85" s="60"/>
    </row>
    <row r="86" spans="1:7" ht="24" thickTop="1" x14ac:dyDescent="0.45">
      <c r="A86" t="s">
        <v>364</v>
      </c>
      <c r="B86" t="s">
        <v>57</v>
      </c>
      <c r="C86" s="20" t="s">
        <v>867</v>
      </c>
      <c r="D86" s="32" t="s">
        <v>985</v>
      </c>
      <c r="E86" s="114" t="s">
        <v>694</v>
      </c>
      <c r="F86" s="27" t="s">
        <v>872</v>
      </c>
      <c r="G86" s="25" t="s">
        <v>611</v>
      </c>
    </row>
    <row r="87" spans="1:7" x14ac:dyDescent="0.45">
      <c r="A87" t="s">
        <v>365</v>
      </c>
      <c r="B87" t="s">
        <v>366</v>
      </c>
      <c r="C87" s="20" t="s">
        <v>811</v>
      </c>
      <c r="D87" s="32" t="s">
        <v>986</v>
      </c>
      <c r="E87" s="117"/>
      <c r="F87" s="27" t="s">
        <v>939</v>
      </c>
      <c r="G87" s="25" t="s">
        <v>611</v>
      </c>
    </row>
    <row r="88" spans="1:7" x14ac:dyDescent="0.45">
      <c r="A88" t="s">
        <v>367</v>
      </c>
      <c r="B88" t="s">
        <v>368</v>
      </c>
      <c r="C88" s="20" t="s">
        <v>812</v>
      </c>
      <c r="D88" s="32" t="s">
        <v>987</v>
      </c>
      <c r="E88" s="117"/>
      <c r="F88" s="27" t="s">
        <v>940</v>
      </c>
      <c r="G88" s="25" t="s">
        <v>611</v>
      </c>
    </row>
    <row r="89" spans="1:7" x14ac:dyDescent="0.45">
      <c r="A89" t="s">
        <v>369</v>
      </c>
      <c r="B89" t="s">
        <v>557</v>
      </c>
      <c r="C89" s="20" t="s">
        <v>813</v>
      </c>
      <c r="D89" s="32" t="s">
        <v>604</v>
      </c>
      <c r="E89" s="111" t="s">
        <v>695</v>
      </c>
      <c r="F89" s="73" t="s">
        <v>941</v>
      </c>
      <c r="G89" s="73" t="s">
        <v>873</v>
      </c>
    </row>
    <row r="90" spans="1:7" ht="24" thickBot="1" x14ac:dyDescent="0.5">
      <c r="A90" t="s">
        <v>371</v>
      </c>
      <c r="B90" t="s">
        <v>372</v>
      </c>
      <c r="C90" s="20" t="s">
        <v>814</v>
      </c>
      <c r="D90" s="32" t="s">
        <v>604</v>
      </c>
      <c r="E90" s="112"/>
      <c r="F90" s="73" t="s">
        <v>942</v>
      </c>
      <c r="G90" s="73" t="s">
        <v>873</v>
      </c>
    </row>
    <row r="91" spans="1:7" ht="24" thickTop="1" x14ac:dyDescent="0.45">
      <c r="A91" t="s">
        <v>373</v>
      </c>
      <c r="B91" t="s">
        <v>374</v>
      </c>
      <c r="C91" s="20" t="s">
        <v>815</v>
      </c>
      <c r="D91" s="32" t="s">
        <v>987</v>
      </c>
      <c r="E91" s="114" t="s">
        <v>694</v>
      </c>
      <c r="F91" s="27" t="s">
        <v>943</v>
      </c>
      <c r="G91" s="25" t="s">
        <v>611</v>
      </c>
    </row>
    <row r="92" spans="1:7" x14ac:dyDescent="0.45">
      <c r="A92" t="s">
        <v>375</v>
      </c>
      <c r="B92" t="s">
        <v>376</v>
      </c>
      <c r="C92" s="20" t="s">
        <v>816</v>
      </c>
      <c r="D92" s="32" t="s">
        <v>984</v>
      </c>
      <c r="E92" s="117"/>
      <c r="F92" s="27" t="s">
        <v>944</v>
      </c>
      <c r="G92" s="25" t="s">
        <v>611</v>
      </c>
    </row>
    <row r="93" spans="1:7" x14ac:dyDescent="0.45">
      <c r="A93" t="s">
        <v>377</v>
      </c>
      <c r="B93" t="s">
        <v>378</v>
      </c>
      <c r="C93" s="20" t="s">
        <v>2066</v>
      </c>
      <c r="D93" s="32" t="s">
        <v>988</v>
      </c>
      <c r="E93" s="117"/>
      <c r="F93" s="27" t="s">
        <v>2067</v>
      </c>
      <c r="G93" s="25" t="s">
        <v>611</v>
      </c>
    </row>
    <row r="94" spans="1:7" x14ac:dyDescent="0.45">
      <c r="A94" t="s">
        <v>379</v>
      </c>
      <c r="B94" t="s">
        <v>380</v>
      </c>
      <c r="C94" s="20" t="s">
        <v>817</v>
      </c>
      <c r="D94" s="32" t="s">
        <v>604</v>
      </c>
      <c r="E94" s="111" t="s">
        <v>695</v>
      </c>
      <c r="F94" s="73" t="s">
        <v>945</v>
      </c>
      <c r="G94" s="73" t="s">
        <v>873</v>
      </c>
    </row>
    <row r="95" spans="1:7" x14ac:dyDescent="0.45">
      <c r="A95" t="s">
        <v>381</v>
      </c>
      <c r="B95" t="s">
        <v>558</v>
      </c>
      <c r="C95" s="20" t="s">
        <v>818</v>
      </c>
      <c r="D95" s="32" t="s">
        <v>604</v>
      </c>
      <c r="E95" s="112"/>
      <c r="F95" s="73" t="s">
        <v>946</v>
      </c>
      <c r="G95" s="73" t="s">
        <v>873</v>
      </c>
    </row>
    <row r="96" spans="1:7" x14ac:dyDescent="0.45">
      <c r="A96" t="s">
        <v>382</v>
      </c>
      <c r="B96" t="s">
        <v>383</v>
      </c>
      <c r="C96" s="20" t="s">
        <v>819</v>
      </c>
      <c r="E96" s="112"/>
      <c r="F96" s="73" t="s">
        <v>947</v>
      </c>
      <c r="G96" s="73" t="s">
        <v>618</v>
      </c>
    </row>
    <row r="97" spans="1:7" x14ac:dyDescent="0.45">
      <c r="A97" t="s">
        <v>384</v>
      </c>
      <c r="B97" t="s">
        <v>385</v>
      </c>
      <c r="C97" s="20" t="s">
        <v>820</v>
      </c>
      <c r="D97" s="32" t="s">
        <v>987</v>
      </c>
      <c r="E97" s="74"/>
      <c r="F97" s="27" t="s">
        <v>948</v>
      </c>
      <c r="G97" s="25" t="s">
        <v>611</v>
      </c>
    </row>
    <row r="98" spans="1:7" x14ac:dyDescent="0.45">
      <c r="A98" t="s">
        <v>386</v>
      </c>
      <c r="B98" t="s">
        <v>387</v>
      </c>
      <c r="C98" s="20" t="s">
        <v>821</v>
      </c>
      <c r="D98" s="32" t="s">
        <v>984</v>
      </c>
      <c r="E98" s="74"/>
      <c r="F98" s="27" t="s">
        <v>949</v>
      </c>
      <c r="G98" s="25" t="s">
        <v>611</v>
      </c>
    </row>
    <row r="99" spans="1:7" x14ac:dyDescent="0.45">
      <c r="A99" t="s">
        <v>388</v>
      </c>
      <c r="B99" t="s">
        <v>389</v>
      </c>
      <c r="C99" s="20" t="s">
        <v>822</v>
      </c>
      <c r="D99" s="32" t="s">
        <v>604</v>
      </c>
      <c r="E99" s="111" t="s">
        <v>695</v>
      </c>
      <c r="F99" s="73" t="s">
        <v>950</v>
      </c>
      <c r="G99" s="73" t="s">
        <v>873</v>
      </c>
    </row>
    <row r="100" spans="1:7" x14ac:dyDescent="0.45">
      <c r="A100" t="s">
        <v>390</v>
      </c>
      <c r="B100" t="s">
        <v>559</v>
      </c>
      <c r="C100" s="20" t="s">
        <v>823</v>
      </c>
      <c r="D100" s="32" t="s">
        <v>604</v>
      </c>
      <c r="E100" s="112"/>
      <c r="F100" s="73" t="s">
        <v>951</v>
      </c>
      <c r="G100" s="73" t="s">
        <v>873</v>
      </c>
    </row>
    <row r="101" spans="1:7" x14ac:dyDescent="0.45">
      <c r="A101" t="s">
        <v>391</v>
      </c>
      <c r="B101" t="s">
        <v>392</v>
      </c>
      <c r="C101" s="20" t="s">
        <v>824</v>
      </c>
      <c r="D101" s="32" t="s">
        <v>984</v>
      </c>
      <c r="E101" s="74"/>
      <c r="F101" s="27" t="s">
        <v>952</v>
      </c>
      <c r="G101" s="25" t="s">
        <v>611</v>
      </c>
    </row>
    <row r="102" spans="1:7" x14ac:dyDescent="0.45">
      <c r="A102" t="s">
        <v>393</v>
      </c>
      <c r="B102" t="s">
        <v>394</v>
      </c>
      <c r="C102" s="20" t="s">
        <v>825</v>
      </c>
      <c r="D102" s="32" t="s">
        <v>989</v>
      </c>
      <c r="E102" s="74"/>
      <c r="F102" s="27" t="s">
        <v>953</v>
      </c>
      <c r="G102" s="25" t="s">
        <v>611</v>
      </c>
    </row>
    <row r="103" spans="1:7" x14ac:dyDescent="0.45">
      <c r="A103" t="s">
        <v>395</v>
      </c>
      <c r="B103" t="s">
        <v>396</v>
      </c>
      <c r="C103" s="20" t="s">
        <v>826</v>
      </c>
      <c r="D103" s="32" t="s">
        <v>984</v>
      </c>
      <c r="E103" s="74"/>
      <c r="F103" s="27" t="s">
        <v>954</v>
      </c>
      <c r="G103" s="25" t="s">
        <v>611</v>
      </c>
    </row>
    <row r="104" spans="1:7" x14ac:dyDescent="0.45">
      <c r="A104" t="s">
        <v>397</v>
      </c>
      <c r="B104" t="s">
        <v>398</v>
      </c>
      <c r="C104" s="20" t="s">
        <v>827</v>
      </c>
      <c r="D104" s="32" t="s">
        <v>990</v>
      </c>
      <c r="E104" s="74"/>
      <c r="F104" s="27" t="s">
        <v>955</v>
      </c>
      <c r="G104" s="25" t="s">
        <v>611</v>
      </c>
    </row>
    <row r="105" spans="1:7" x14ac:dyDescent="0.45">
      <c r="A105" t="s">
        <v>399</v>
      </c>
      <c r="B105" t="s">
        <v>400</v>
      </c>
      <c r="C105" s="20" t="s">
        <v>828</v>
      </c>
      <c r="E105" s="68" t="s">
        <v>695</v>
      </c>
      <c r="F105" s="73" t="s">
        <v>956</v>
      </c>
      <c r="G105" s="73" t="s">
        <v>873</v>
      </c>
    </row>
    <row r="106" spans="1:7" x14ac:dyDescent="0.45">
      <c r="A106" t="s">
        <v>402</v>
      </c>
      <c r="B106" t="s">
        <v>403</v>
      </c>
      <c r="C106" s="20" t="s">
        <v>829</v>
      </c>
      <c r="D106" s="32" t="s">
        <v>991</v>
      </c>
      <c r="E106" s="74"/>
      <c r="F106" s="27" t="s">
        <v>957</v>
      </c>
      <c r="G106" s="25" t="s">
        <v>611</v>
      </c>
    </row>
    <row r="107" spans="1:7" x14ac:dyDescent="0.45">
      <c r="A107" t="s">
        <v>404</v>
      </c>
      <c r="B107" t="s">
        <v>405</v>
      </c>
      <c r="C107" s="20" t="s">
        <v>830</v>
      </c>
      <c r="D107" s="32" t="s">
        <v>992</v>
      </c>
      <c r="E107" s="75"/>
      <c r="F107" s="27" t="s">
        <v>958</v>
      </c>
      <c r="G107" s="25" t="s">
        <v>611</v>
      </c>
    </row>
    <row r="108" spans="1:7" x14ac:dyDescent="0.45">
      <c r="A108" t="s">
        <v>416</v>
      </c>
      <c r="B108" t="s">
        <v>8</v>
      </c>
      <c r="C108" s="20" t="s">
        <v>573</v>
      </c>
      <c r="E108" s="106" t="s">
        <v>620</v>
      </c>
      <c r="F108" s="106"/>
      <c r="G108" s="105" t="s">
        <v>611</v>
      </c>
    </row>
    <row r="109" spans="1:7" x14ac:dyDescent="0.45">
      <c r="A109" t="s">
        <v>417</v>
      </c>
      <c r="B109" t="s">
        <v>9</v>
      </c>
      <c r="C109" s="20" t="s">
        <v>601</v>
      </c>
      <c r="E109" s="107"/>
      <c r="F109" s="108"/>
      <c r="G109" s="125"/>
    </row>
    <row r="111" spans="1:7" x14ac:dyDescent="0.45">
      <c r="E111" s="105" t="s">
        <v>868</v>
      </c>
      <c r="F111" s="105"/>
      <c r="G111" s="28" t="s">
        <v>613</v>
      </c>
    </row>
    <row r="112" spans="1:7" ht="24" thickBot="1" x14ac:dyDescent="0.5">
      <c r="A112" s="48" t="s">
        <v>524</v>
      </c>
      <c r="B112" s="48" t="s">
        <v>525</v>
      </c>
      <c r="C112" s="38" t="s">
        <v>911</v>
      </c>
      <c r="E112" s="59" t="s">
        <v>2096</v>
      </c>
      <c r="F112" s="60" t="s">
        <v>912</v>
      </c>
      <c r="G112" s="60"/>
    </row>
    <row r="113" spans="1:8" ht="24" thickTop="1" x14ac:dyDescent="0.45">
      <c r="A113" t="s">
        <v>526</v>
      </c>
      <c r="B113" t="s">
        <v>527</v>
      </c>
      <c r="C113" s="20" t="s">
        <v>913</v>
      </c>
      <c r="D113" s="32" t="s">
        <v>1002</v>
      </c>
      <c r="E113" s="79" t="s">
        <v>694</v>
      </c>
      <c r="F113" s="24" t="s">
        <v>916</v>
      </c>
      <c r="G113" s="24" t="s">
        <v>611</v>
      </c>
    </row>
    <row r="114" spans="1:8" x14ac:dyDescent="0.45">
      <c r="A114" t="s">
        <v>528</v>
      </c>
      <c r="B114" t="s">
        <v>84</v>
      </c>
      <c r="C114" s="20" t="s">
        <v>915</v>
      </c>
      <c r="D114" s="32" t="s">
        <v>984</v>
      </c>
      <c r="E114" s="77"/>
      <c r="F114" s="49" t="s">
        <v>917</v>
      </c>
      <c r="G114" s="29" t="s">
        <v>611</v>
      </c>
    </row>
    <row r="115" spans="1:8" x14ac:dyDescent="0.45">
      <c r="A115" t="s">
        <v>529</v>
      </c>
      <c r="B115" t="s">
        <v>530</v>
      </c>
      <c r="C115" s="20" t="s">
        <v>914</v>
      </c>
      <c r="E115" s="111" t="s">
        <v>695</v>
      </c>
      <c r="F115" s="78" t="s">
        <v>918</v>
      </c>
      <c r="G115" s="78" t="s">
        <v>873</v>
      </c>
    </row>
    <row r="116" spans="1:8" x14ac:dyDescent="0.45">
      <c r="A116" t="s">
        <v>531</v>
      </c>
      <c r="B116" t="s">
        <v>910</v>
      </c>
      <c r="C116" s="20" t="s">
        <v>909</v>
      </c>
      <c r="D116" s="32" t="s">
        <v>187</v>
      </c>
      <c r="E116" s="112"/>
      <c r="F116" s="78" t="s">
        <v>919</v>
      </c>
      <c r="G116" s="78" t="s">
        <v>614</v>
      </c>
    </row>
    <row r="117" spans="1:8" x14ac:dyDescent="0.45">
      <c r="A117" t="s">
        <v>532</v>
      </c>
      <c r="B117" t="s">
        <v>533</v>
      </c>
      <c r="C117" s="20" t="s">
        <v>869</v>
      </c>
      <c r="D117" s="32" t="s">
        <v>187</v>
      </c>
      <c r="E117" s="112"/>
      <c r="F117" s="78" t="s">
        <v>920</v>
      </c>
      <c r="G117" s="78" t="s">
        <v>614</v>
      </c>
    </row>
    <row r="118" spans="1:8" x14ac:dyDescent="0.45">
      <c r="A118" t="s">
        <v>534</v>
      </c>
      <c r="B118" t="s">
        <v>561</v>
      </c>
      <c r="C118" s="20" t="s">
        <v>870</v>
      </c>
      <c r="D118" s="32" t="s">
        <v>187</v>
      </c>
      <c r="E118" s="113"/>
      <c r="F118" s="78" t="s">
        <v>921</v>
      </c>
      <c r="G118" s="78" t="s">
        <v>614</v>
      </c>
    </row>
    <row r="119" spans="1:8" x14ac:dyDescent="0.45">
      <c r="A119" t="s">
        <v>535</v>
      </c>
      <c r="B119" t="s">
        <v>536</v>
      </c>
      <c r="C119" s="20" t="s">
        <v>871</v>
      </c>
      <c r="D119" s="32" t="s">
        <v>987</v>
      </c>
      <c r="E119" s="77"/>
      <c r="F119" s="24" t="s">
        <v>922</v>
      </c>
      <c r="G119" s="24" t="s">
        <v>611</v>
      </c>
    </row>
    <row r="120" spans="1:8" x14ac:dyDescent="0.45">
      <c r="A120" t="s">
        <v>537</v>
      </c>
      <c r="B120" t="s">
        <v>8</v>
      </c>
      <c r="C120" s="20" t="s">
        <v>573</v>
      </c>
      <c r="E120" s="106" t="s">
        <v>620</v>
      </c>
      <c r="F120" s="106"/>
      <c r="G120" s="105" t="s">
        <v>611</v>
      </c>
    </row>
    <row r="121" spans="1:8" x14ac:dyDescent="0.45">
      <c r="A121" t="s">
        <v>538</v>
      </c>
      <c r="B121" t="s">
        <v>9</v>
      </c>
      <c r="C121" s="20" t="s">
        <v>601</v>
      </c>
      <c r="E121" s="106"/>
      <c r="F121" s="106"/>
      <c r="G121" s="105"/>
    </row>
    <row r="122" spans="1:8" x14ac:dyDescent="0.45">
      <c r="E122" s="55"/>
    </row>
    <row r="123" spans="1:8" x14ac:dyDescent="0.45">
      <c r="E123" s="55"/>
    </row>
    <row r="124" spans="1:8" ht="24" thickBot="1" x14ac:dyDescent="0.5">
      <c r="A124" s="38" t="s">
        <v>539</v>
      </c>
      <c r="B124" s="38" t="s">
        <v>540</v>
      </c>
      <c r="C124" s="37" t="s">
        <v>1019</v>
      </c>
      <c r="D124" s="45"/>
      <c r="E124" s="59" t="s">
        <v>2096</v>
      </c>
      <c r="F124" s="60" t="s">
        <v>1031</v>
      </c>
      <c r="G124" s="60"/>
      <c r="H124" s="103" t="s">
        <v>2100</v>
      </c>
    </row>
    <row r="125" spans="1:8" ht="24" thickTop="1" x14ac:dyDescent="0.45">
      <c r="A125" t="s">
        <v>541</v>
      </c>
      <c r="B125" t="s">
        <v>542</v>
      </c>
      <c r="C125" s="20" t="s">
        <v>1021</v>
      </c>
      <c r="D125" s="45"/>
      <c r="E125" s="160" t="s">
        <v>694</v>
      </c>
      <c r="F125" s="24" t="s">
        <v>1027</v>
      </c>
      <c r="G125" s="25" t="s">
        <v>611</v>
      </c>
    </row>
    <row r="126" spans="1:8" x14ac:dyDescent="0.45">
      <c r="A126" s="2" t="s">
        <v>543</v>
      </c>
      <c r="B126" s="2" t="s">
        <v>552</v>
      </c>
      <c r="C126" s="21" t="s">
        <v>1022</v>
      </c>
      <c r="D126" s="45"/>
      <c r="E126" s="161"/>
      <c r="F126" s="51" t="s">
        <v>1028</v>
      </c>
      <c r="G126" s="25" t="s">
        <v>611</v>
      </c>
      <c r="H126" s="89" t="s">
        <v>2158</v>
      </c>
    </row>
    <row r="127" spans="1:8" x14ac:dyDescent="0.45">
      <c r="A127" t="s">
        <v>544</v>
      </c>
      <c r="B127" t="s">
        <v>545</v>
      </c>
      <c r="C127" s="20" t="s">
        <v>1023</v>
      </c>
      <c r="D127" s="45"/>
      <c r="E127" s="161"/>
      <c r="F127" s="24" t="s">
        <v>1029</v>
      </c>
      <c r="G127" s="25" t="s">
        <v>611</v>
      </c>
    </row>
    <row r="128" spans="1:8" x14ac:dyDescent="0.45">
      <c r="A128" t="s">
        <v>547</v>
      </c>
      <c r="B128" t="s">
        <v>307</v>
      </c>
      <c r="C128" s="20" t="s">
        <v>1024</v>
      </c>
      <c r="D128" s="45"/>
      <c r="E128" s="162"/>
      <c r="F128" s="24" t="s">
        <v>1030</v>
      </c>
      <c r="G128" s="25" t="s">
        <v>611</v>
      </c>
    </row>
    <row r="129" spans="1:8" x14ac:dyDescent="0.45">
      <c r="A129" t="s">
        <v>548</v>
      </c>
      <c r="B129" t="s">
        <v>9</v>
      </c>
      <c r="C129" s="20" t="s">
        <v>601</v>
      </c>
      <c r="D129" s="45"/>
      <c r="E129" s="158" t="s">
        <v>620</v>
      </c>
      <c r="F129" s="159"/>
      <c r="G129" s="26" t="s">
        <v>611</v>
      </c>
    </row>
    <row r="130" spans="1:8" x14ac:dyDescent="0.45">
      <c r="A130"/>
      <c r="B130"/>
      <c r="C130"/>
      <c r="D130" s="45"/>
      <c r="E130" s="55"/>
      <c r="F130"/>
      <c r="G130"/>
    </row>
    <row r="131" spans="1:8" x14ac:dyDescent="0.45">
      <c r="A131"/>
      <c r="B131"/>
      <c r="C131"/>
      <c r="D131" s="45"/>
      <c r="E131" s="55"/>
      <c r="F131"/>
      <c r="G131"/>
    </row>
    <row r="132" spans="1:8" ht="24" thickBot="1" x14ac:dyDescent="0.5">
      <c r="A132" s="38" t="s">
        <v>562</v>
      </c>
      <c r="B132" s="38" t="s">
        <v>563</v>
      </c>
      <c r="C132" s="38" t="s">
        <v>1020</v>
      </c>
      <c r="D132" s="45"/>
      <c r="E132" s="59" t="s">
        <v>2096</v>
      </c>
      <c r="F132" s="60" t="s">
        <v>2069</v>
      </c>
      <c r="G132" s="60"/>
      <c r="H132" s="103" t="s">
        <v>2100</v>
      </c>
    </row>
    <row r="133" spans="1:8" ht="24" thickTop="1" x14ac:dyDescent="0.45">
      <c r="A133" t="s">
        <v>2</v>
      </c>
      <c r="B133" t="s">
        <v>174</v>
      </c>
      <c r="C133" t="s">
        <v>1025</v>
      </c>
      <c r="D133" s="45"/>
      <c r="E133" s="114" t="s">
        <v>694</v>
      </c>
      <c r="F133" s="24" t="s">
        <v>2070</v>
      </c>
      <c r="G133" s="25" t="s">
        <v>611</v>
      </c>
      <c r="H133" s="89" t="s">
        <v>2159</v>
      </c>
    </row>
    <row r="134" spans="1:8" x14ac:dyDescent="0.45">
      <c r="A134" t="s">
        <v>3</v>
      </c>
      <c r="B134" t="s">
        <v>4</v>
      </c>
      <c r="C134" t="s">
        <v>1026</v>
      </c>
      <c r="D134" s="45"/>
      <c r="E134" s="115"/>
      <c r="F134" s="24" t="s">
        <v>2068</v>
      </c>
      <c r="G134" s="25" t="s">
        <v>611</v>
      </c>
    </row>
    <row r="136" spans="1:8" s="43" customFormat="1" x14ac:dyDescent="0.45">
      <c r="A136" s="39"/>
      <c r="B136" s="39"/>
      <c r="C136" s="40"/>
      <c r="D136" s="41"/>
      <c r="E136" s="56"/>
      <c r="F136" s="42"/>
      <c r="G136" s="42"/>
      <c r="H136" s="91"/>
    </row>
    <row r="138" spans="1:8" x14ac:dyDescent="0.45">
      <c r="E138" s="157" t="s">
        <v>907</v>
      </c>
      <c r="F138" s="157"/>
      <c r="G138" s="28" t="s">
        <v>613</v>
      </c>
    </row>
    <row r="139" spans="1:8" ht="24" thickBot="1" x14ac:dyDescent="0.5">
      <c r="A139" s="17" t="s">
        <v>211</v>
      </c>
      <c r="B139" s="17" t="s">
        <v>212</v>
      </c>
      <c r="C139" s="17" t="s">
        <v>689</v>
      </c>
      <c r="E139" s="59" t="s">
        <v>2096</v>
      </c>
      <c r="F139" s="80" t="s">
        <v>764</v>
      </c>
      <c r="G139" s="81" t="s">
        <v>618</v>
      </c>
    </row>
    <row r="140" spans="1:8" ht="24.6" thickTop="1" thickBot="1" x14ac:dyDescent="0.5">
      <c r="A140" s="18" t="s">
        <v>10</v>
      </c>
      <c r="B140" s="18" t="s">
        <v>5</v>
      </c>
      <c r="C140" s="20" t="s">
        <v>2090</v>
      </c>
      <c r="E140" s="68" t="s">
        <v>695</v>
      </c>
      <c r="F140" s="85" t="s">
        <v>2093</v>
      </c>
      <c r="G140" s="86" t="s">
        <v>611</v>
      </c>
    </row>
    <row r="141" spans="1:8" ht="24" thickTop="1" x14ac:dyDescent="0.45">
      <c r="A141" s="18" t="s">
        <v>11</v>
      </c>
      <c r="B141" s="18" t="s">
        <v>6</v>
      </c>
      <c r="C141" s="20" t="s">
        <v>587</v>
      </c>
      <c r="D141" s="32" t="s">
        <v>2058</v>
      </c>
      <c r="E141" s="114" t="s">
        <v>694</v>
      </c>
      <c r="F141" s="27" t="s">
        <v>718</v>
      </c>
      <c r="G141" s="25" t="s">
        <v>611</v>
      </c>
    </row>
    <row r="142" spans="1:8" x14ac:dyDescent="0.45">
      <c r="A142" s="18" t="s">
        <v>13</v>
      </c>
      <c r="B142" s="18" t="s">
        <v>7</v>
      </c>
      <c r="C142" s="20" t="s">
        <v>588</v>
      </c>
      <c r="D142" s="32" t="s">
        <v>2059</v>
      </c>
      <c r="E142" s="115"/>
      <c r="F142" s="27" t="s">
        <v>719</v>
      </c>
      <c r="G142" s="25" t="s">
        <v>611</v>
      </c>
    </row>
    <row r="143" spans="1:8" x14ac:dyDescent="0.45">
      <c r="A143" s="18" t="s">
        <v>15</v>
      </c>
      <c r="B143" s="18" t="s">
        <v>16</v>
      </c>
      <c r="C143" s="20" t="s">
        <v>589</v>
      </c>
      <c r="E143" s="106" t="s">
        <v>620</v>
      </c>
      <c r="F143" s="106"/>
      <c r="G143" s="105" t="s">
        <v>611</v>
      </c>
    </row>
    <row r="144" spans="1:8" x14ac:dyDescent="0.45">
      <c r="A144" s="18" t="s">
        <v>18</v>
      </c>
      <c r="B144" s="18" t="s">
        <v>8</v>
      </c>
      <c r="C144" s="20" t="s">
        <v>573</v>
      </c>
      <c r="E144" s="106"/>
      <c r="F144" s="106"/>
      <c r="G144" s="105"/>
    </row>
    <row r="145" spans="1:8" x14ac:dyDescent="0.45">
      <c r="A145" s="18" t="s">
        <v>19</v>
      </c>
      <c r="B145" s="18" t="s">
        <v>9</v>
      </c>
      <c r="C145" s="20" t="s">
        <v>601</v>
      </c>
      <c r="E145" s="106"/>
      <c r="F145" s="106"/>
      <c r="G145" s="105"/>
    </row>
    <row r="147" spans="1:8" x14ac:dyDescent="0.45">
      <c r="E147" s="157" t="s">
        <v>908</v>
      </c>
      <c r="F147" s="157"/>
      <c r="G147" s="28" t="s">
        <v>613</v>
      </c>
    </row>
    <row r="148" spans="1:8" ht="24" thickBot="1" x14ac:dyDescent="0.5">
      <c r="A148" s="17" t="s">
        <v>214</v>
      </c>
      <c r="B148" s="17" t="s">
        <v>215</v>
      </c>
      <c r="C148" s="17" t="s">
        <v>690</v>
      </c>
      <c r="E148" s="59" t="s">
        <v>2096</v>
      </c>
      <c r="F148" s="80" t="s">
        <v>765</v>
      </c>
      <c r="G148" s="81" t="s">
        <v>618</v>
      </c>
    </row>
    <row r="149" spans="1:8" ht="24" thickTop="1" x14ac:dyDescent="0.45">
      <c r="A149" s="18" t="s">
        <v>21</v>
      </c>
      <c r="B149" s="18" t="s">
        <v>22</v>
      </c>
      <c r="C149" s="20" t="s">
        <v>2091</v>
      </c>
      <c r="E149" s="68" t="s">
        <v>695</v>
      </c>
      <c r="F149" s="87" t="s">
        <v>2092</v>
      </c>
      <c r="G149" s="86" t="s">
        <v>611</v>
      </c>
    </row>
    <row r="150" spans="1:8" ht="28.8" x14ac:dyDescent="0.45">
      <c r="A150" s="18" t="s">
        <v>23</v>
      </c>
      <c r="B150" s="18" t="s">
        <v>216</v>
      </c>
      <c r="C150" s="20" t="s">
        <v>595</v>
      </c>
      <c r="D150" s="32" t="s">
        <v>2102</v>
      </c>
      <c r="E150" s="58"/>
      <c r="F150" s="24" t="s">
        <v>720</v>
      </c>
      <c r="G150" s="25" t="s">
        <v>611</v>
      </c>
    </row>
    <row r="151" spans="1:8" x14ac:dyDescent="0.45">
      <c r="A151" s="18" t="s">
        <v>24</v>
      </c>
      <c r="B151" s="18" t="s">
        <v>25</v>
      </c>
      <c r="C151" s="20" t="s">
        <v>590</v>
      </c>
      <c r="E151" s="111" t="s">
        <v>695</v>
      </c>
      <c r="F151" s="78" t="s">
        <v>721</v>
      </c>
      <c r="G151" s="78" t="s">
        <v>614</v>
      </c>
    </row>
    <row r="152" spans="1:8" x14ac:dyDescent="0.45">
      <c r="A152" s="18" t="s">
        <v>26</v>
      </c>
      <c r="B152" s="18" t="s">
        <v>27</v>
      </c>
      <c r="C152" s="20" t="s">
        <v>591</v>
      </c>
      <c r="E152" s="112"/>
      <c r="F152" s="78" t="s">
        <v>722</v>
      </c>
      <c r="G152" s="78" t="s">
        <v>614</v>
      </c>
    </row>
    <row r="153" spans="1:8" x14ac:dyDescent="0.45">
      <c r="A153" s="18" t="s">
        <v>28</v>
      </c>
      <c r="B153" s="18" t="s">
        <v>29</v>
      </c>
      <c r="C153" s="20" t="s">
        <v>596</v>
      </c>
      <c r="E153" s="112"/>
      <c r="F153" s="78" t="s">
        <v>723</v>
      </c>
      <c r="G153" s="72" t="s">
        <v>611</v>
      </c>
    </row>
    <row r="154" spans="1:8" x14ac:dyDescent="0.45">
      <c r="A154" s="18" t="s">
        <v>30</v>
      </c>
      <c r="B154" s="18" t="s">
        <v>31</v>
      </c>
      <c r="C154" s="20" t="s">
        <v>597</v>
      </c>
      <c r="E154" s="112"/>
      <c r="F154" s="78" t="s">
        <v>724</v>
      </c>
      <c r="G154" s="72" t="s">
        <v>611</v>
      </c>
    </row>
    <row r="155" spans="1:8" ht="24" thickBot="1" x14ac:dyDescent="0.5">
      <c r="A155" s="18" t="s">
        <v>32</v>
      </c>
      <c r="B155" s="18" t="s">
        <v>33</v>
      </c>
      <c r="C155" s="20" t="s">
        <v>592</v>
      </c>
      <c r="E155" s="116"/>
      <c r="F155" s="78" t="s">
        <v>725</v>
      </c>
      <c r="G155" s="78" t="s">
        <v>614</v>
      </c>
    </row>
    <row r="156" spans="1:8" ht="24" thickTop="1" x14ac:dyDescent="0.45">
      <c r="A156" s="18" t="s">
        <v>34</v>
      </c>
      <c r="B156" s="18" t="s">
        <v>35</v>
      </c>
      <c r="C156" s="20" t="s">
        <v>602</v>
      </c>
      <c r="D156" s="32" t="s">
        <v>2060</v>
      </c>
      <c r="E156" s="114" t="s">
        <v>694</v>
      </c>
      <c r="F156" s="24" t="s">
        <v>726</v>
      </c>
      <c r="G156" s="25" t="s">
        <v>611</v>
      </c>
    </row>
    <row r="157" spans="1:8" x14ac:dyDescent="0.45">
      <c r="A157" s="18" t="s">
        <v>36</v>
      </c>
      <c r="B157" s="18" t="s">
        <v>37</v>
      </c>
      <c r="C157" s="20" t="s">
        <v>603</v>
      </c>
      <c r="D157" s="32" t="s">
        <v>2061</v>
      </c>
      <c r="E157" s="117"/>
      <c r="F157" s="24" t="s">
        <v>727</v>
      </c>
      <c r="G157" s="25" t="s">
        <v>611</v>
      </c>
    </row>
    <row r="158" spans="1:8" x14ac:dyDescent="0.45">
      <c r="A158" s="18" t="s">
        <v>38</v>
      </c>
      <c r="B158" s="18" t="s">
        <v>553</v>
      </c>
      <c r="C158" s="20" t="s">
        <v>598</v>
      </c>
      <c r="D158" s="32" t="s">
        <v>2062</v>
      </c>
      <c r="E158" s="117"/>
      <c r="F158" s="24" t="s">
        <v>728</v>
      </c>
      <c r="G158" s="25" t="s">
        <v>611</v>
      </c>
    </row>
    <row r="159" spans="1:8" x14ac:dyDescent="0.45">
      <c r="A159" s="18" t="s">
        <v>39</v>
      </c>
      <c r="B159" s="18" t="s">
        <v>40</v>
      </c>
      <c r="C159" s="20" t="s">
        <v>599</v>
      </c>
      <c r="D159" s="32" t="s">
        <v>2063</v>
      </c>
      <c r="E159" s="117"/>
      <c r="F159" s="24" t="s">
        <v>729</v>
      </c>
      <c r="G159" s="25" t="s">
        <v>611</v>
      </c>
    </row>
    <row r="160" spans="1:8" ht="43.2" x14ac:dyDescent="0.3">
      <c r="A160" s="18" t="s">
        <v>42</v>
      </c>
      <c r="B160" s="18" t="s">
        <v>565</v>
      </c>
      <c r="C160" s="20" t="s">
        <v>600</v>
      </c>
      <c r="D160" s="33" t="s">
        <v>2101</v>
      </c>
      <c r="E160" s="118"/>
      <c r="F160" s="24" t="s">
        <v>730</v>
      </c>
      <c r="G160" s="25" t="s">
        <v>611</v>
      </c>
      <c r="H160" s="164" t="s">
        <v>2103</v>
      </c>
    </row>
    <row r="161" spans="1:8" x14ac:dyDescent="0.45">
      <c r="A161" s="18" t="s">
        <v>43</v>
      </c>
      <c r="B161" s="18" t="s">
        <v>9</v>
      </c>
      <c r="C161" s="20" t="s">
        <v>601</v>
      </c>
      <c r="E161" s="106" t="s">
        <v>620</v>
      </c>
      <c r="F161" s="106"/>
      <c r="G161" s="26" t="s">
        <v>611</v>
      </c>
    </row>
    <row r="163" spans="1:8" s="43" customFormat="1" x14ac:dyDescent="0.45">
      <c r="A163" s="39"/>
      <c r="B163" s="39"/>
      <c r="C163" s="40"/>
      <c r="D163" s="41"/>
      <c r="E163" s="56"/>
      <c r="F163" s="42"/>
      <c r="G163" s="42"/>
      <c r="H163" s="91"/>
    </row>
    <row r="164" spans="1:8" x14ac:dyDescent="0.45">
      <c r="A164"/>
      <c r="B164"/>
      <c r="C164"/>
      <c r="D164" s="45"/>
      <c r="E164" s="55"/>
      <c r="F164"/>
      <c r="G164"/>
    </row>
    <row r="165" spans="1:8" x14ac:dyDescent="0.45">
      <c r="E165" s="124" t="s">
        <v>2089</v>
      </c>
      <c r="F165" s="124"/>
      <c r="G165" s="28" t="s">
        <v>613</v>
      </c>
    </row>
    <row r="166" spans="1:8" ht="24" thickBot="1" x14ac:dyDescent="0.5">
      <c r="A166" s="17" t="s">
        <v>884</v>
      </c>
      <c r="B166" s="17" t="s">
        <v>888</v>
      </c>
      <c r="C166" s="22" t="s">
        <v>885</v>
      </c>
      <c r="E166" s="59" t="s">
        <v>2096</v>
      </c>
      <c r="F166" s="82" t="s">
        <v>886</v>
      </c>
      <c r="G166" s="83" t="s">
        <v>618</v>
      </c>
    </row>
    <row r="167" spans="1:8" ht="24" thickTop="1" x14ac:dyDescent="0.45">
      <c r="A167" s="18" t="s">
        <v>129</v>
      </c>
      <c r="B167" s="18" t="s">
        <v>17</v>
      </c>
      <c r="C167" s="18" t="s">
        <v>626</v>
      </c>
      <c r="E167" s="77" t="s">
        <v>694</v>
      </c>
      <c r="F167" s="120" t="s">
        <v>732</v>
      </c>
      <c r="G167" s="24" t="s">
        <v>611</v>
      </c>
      <c r="H167" s="90" t="s">
        <v>2104</v>
      </c>
    </row>
    <row r="168" spans="1:8" x14ac:dyDescent="0.45">
      <c r="A168" t="s">
        <v>421</v>
      </c>
      <c r="B168" t="s">
        <v>17</v>
      </c>
      <c r="C168" t="s">
        <v>626</v>
      </c>
      <c r="D168" s="45"/>
      <c r="E168" s="77"/>
      <c r="F168" s="120"/>
      <c r="G168" s="24" t="s">
        <v>611</v>
      </c>
    </row>
    <row r="169" spans="1:8" x14ac:dyDescent="0.45">
      <c r="A169" s="18" t="s">
        <v>130</v>
      </c>
      <c r="B169" s="18" t="s">
        <v>131</v>
      </c>
      <c r="C169" s="18" t="s">
        <v>627</v>
      </c>
      <c r="E169" s="111" t="s">
        <v>695</v>
      </c>
      <c r="F169" s="104" t="s">
        <v>733</v>
      </c>
      <c r="G169" s="78" t="s">
        <v>611</v>
      </c>
      <c r="H169" s="90"/>
    </row>
    <row r="170" spans="1:8" x14ac:dyDescent="0.45">
      <c r="A170" t="s">
        <v>422</v>
      </c>
      <c r="B170" t="s">
        <v>131</v>
      </c>
      <c r="C170" t="s">
        <v>627</v>
      </c>
      <c r="D170" s="45"/>
      <c r="E170" s="113"/>
      <c r="F170" s="104"/>
      <c r="G170" s="78" t="s">
        <v>611</v>
      </c>
    </row>
    <row r="171" spans="1:8" x14ac:dyDescent="0.45">
      <c r="A171" s="18" t="s">
        <v>132</v>
      </c>
      <c r="B171" s="18" t="s">
        <v>133</v>
      </c>
      <c r="C171" s="18" t="s">
        <v>628</v>
      </c>
      <c r="E171" s="111" t="s">
        <v>695</v>
      </c>
      <c r="F171" s="149" t="s">
        <v>791</v>
      </c>
      <c r="G171" s="72" t="s">
        <v>873</v>
      </c>
    </row>
    <row r="172" spans="1:8" x14ac:dyDescent="0.45">
      <c r="A172" t="s">
        <v>423</v>
      </c>
      <c r="B172" t="s">
        <v>133</v>
      </c>
      <c r="C172" t="s">
        <v>628</v>
      </c>
      <c r="D172" s="45"/>
      <c r="E172" s="113"/>
      <c r="F172" s="149"/>
      <c r="G172" s="72" t="s">
        <v>873</v>
      </c>
    </row>
    <row r="173" spans="1:8" x14ac:dyDescent="0.45">
      <c r="A173" s="18" t="s">
        <v>134</v>
      </c>
      <c r="B173" s="18" t="s">
        <v>135</v>
      </c>
      <c r="C173" s="18" t="s">
        <v>874</v>
      </c>
      <c r="D173" s="163" t="s">
        <v>1003</v>
      </c>
      <c r="E173" s="77"/>
      <c r="F173" s="120" t="s">
        <v>883</v>
      </c>
      <c r="G173" s="24" t="s">
        <v>611</v>
      </c>
    </row>
    <row r="174" spans="1:8" x14ac:dyDescent="0.45">
      <c r="A174" t="s">
        <v>424</v>
      </c>
      <c r="B174" t="s">
        <v>135</v>
      </c>
      <c r="C174" t="s">
        <v>874</v>
      </c>
      <c r="D174" s="163"/>
      <c r="E174" s="77"/>
      <c r="F174" s="120"/>
      <c r="G174" s="24" t="s">
        <v>611</v>
      </c>
    </row>
    <row r="175" spans="1:8" x14ac:dyDescent="0.45">
      <c r="A175" s="18" t="s">
        <v>136</v>
      </c>
      <c r="B175" s="18" t="s">
        <v>137</v>
      </c>
      <c r="C175" s="18" t="s">
        <v>629</v>
      </c>
      <c r="D175" s="163" t="s">
        <v>1004</v>
      </c>
      <c r="E175" s="77"/>
      <c r="F175" s="120" t="s">
        <v>734</v>
      </c>
      <c r="G175" s="24" t="s">
        <v>611</v>
      </c>
    </row>
    <row r="176" spans="1:8" x14ac:dyDescent="0.45">
      <c r="A176" t="s">
        <v>425</v>
      </c>
      <c r="B176" t="s">
        <v>137</v>
      </c>
      <c r="C176" t="s">
        <v>629</v>
      </c>
      <c r="D176" s="163"/>
      <c r="E176" s="77"/>
      <c r="F176" s="120"/>
      <c r="G176" s="24" t="s">
        <v>611</v>
      </c>
    </row>
    <row r="177" spans="1:8" x14ac:dyDescent="0.45">
      <c r="A177" s="18" t="s">
        <v>138</v>
      </c>
      <c r="B177" s="18" t="s">
        <v>427</v>
      </c>
      <c r="C177" s="18" t="s">
        <v>630</v>
      </c>
      <c r="E177" s="77"/>
      <c r="F177" s="120" t="s">
        <v>735</v>
      </c>
      <c r="G177" s="24" t="s">
        <v>611</v>
      </c>
      <c r="H177" s="89" t="s">
        <v>2136</v>
      </c>
    </row>
    <row r="178" spans="1:8" x14ac:dyDescent="0.45">
      <c r="A178" t="s">
        <v>426</v>
      </c>
      <c r="B178" t="s">
        <v>427</v>
      </c>
      <c r="C178" t="s">
        <v>630</v>
      </c>
      <c r="D178" s="45"/>
      <c r="E178" s="77"/>
      <c r="F178" s="120"/>
      <c r="G178" s="24" t="s">
        <v>611</v>
      </c>
    </row>
    <row r="179" spans="1:8" x14ac:dyDescent="0.45">
      <c r="A179" s="18" t="s">
        <v>139</v>
      </c>
      <c r="B179" s="18" t="s">
        <v>140</v>
      </c>
      <c r="C179" s="18" t="s">
        <v>631</v>
      </c>
      <c r="D179" s="163" t="s">
        <v>1005</v>
      </c>
      <c r="E179" s="77"/>
      <c r="F179" s="120" t="s">
        <v>736</v>
      </c>
      <c r="G179" s="24" t="s">
        <v>611</v>
      </c>
    </row>
    <row r="180" spans="1:8" x14ac:dyDescent="0.45">
      <c r="A180" t="s">
        <v>428</v>
      </c>
      <c r="B180" t="s">
        <v>140</v>
      </c>
      <c r="C180" t="s">
        <v>631</v>
      </c>
      <c r="D180" s="163"/>
      <c r="E180" s="77"/>
      <c r="F180" s="120"/>
      <c r="G180" s="24" t="s">
        <v>611</v>
      </c>
    </row>
    <row r="181" spans="1:8" x14ac:dyDescent="0.45">
      <c r="A181" s="18" t="s">
        <v>141</v>
      </c>
      <c r="B181" s="18" t="s">
        <v>142</v>
      </c>
      <c r="C181" s="18" t="s">
        <v>632</v>
      </c>
      <c r="E181" s="111" t="s">
        <v>695</v>
      </c>
      <c r="F181" s="104" t="s">
        <v>737</v>
      </c>
      <c r="G181" s="78" t="s">
        <v>611</v>
      </c>
    </row>
    <row r="182" spans="1:8" x14ac:dyDescent="0.45">
      <c r="A182" t="s">
        <v>429</v>
      </c>
      <c r="B182" t="s">
        <v>142</v>
      </c>
      <c r="C182" t="s">
        <v>632</v>
      </c>
      <c r="D182" s="45"/>
      <c r="E182" s="113"/>
      <c r="F182" s="104"/>
      <c r="G182" s="78" t="s">
        <v>611</v>
      </c>
    </row>
    <row r="184" spans="1:8" x14ac:dyDescent="0.45">
      <c r="A184" s="18" t="s">
        <v>146</v>
      </c>
      <c r="B184" s="18" t="s">
        <v>147</v>
      </c>
      <c r="C184" s="18" t="s">
        <v>635</v>
      </c>
      <c r="D184" s="163" t="s">
        <v>1008</v>
      </c>
      <c r="E184" s="79" t="s">
        <v>694</v>
      </c>
      <c r="F184" s="120" t="s">
        <v>890</v>
      </c>
      <c r="G184" s="24" t="s">
        <v>611</v>
      </c>
    </row>
    <row r="185" spans="1:8" x14ac:dyDescent="0.45">
      <c r="A185" t="s">
        <v>434</v>
      </c>
      <c r="B185" t="s">
        <v>147</v>
      </c>
      <c r="C185" t="s">
        <v>635</v>
      </c>
      <c r="D185" s="163"/>
      <c r="E185" s="77"/>
      <c r="F185" s="120"/>
      <c r="G185" s="24" t="s">
        <v>611</v>
      </c>
    </row>
    <row r="186" spans="1:8" x14ac:dyDescent="0.45">
      <c r="A186" s="18" t="s">
        <v>148</v>
      </c>
      <c r="B186" s="18" t="s">
        <v>149</v>
      </c>
      <c r="C186" s="18" t="s">
        <v>636</v>
      </c>
      <c r="E186" s="111" t="s">
        <v>695</v>
      </c>
      <c r="F186" s="121" t="s">
        <v>2094</v>
      </c>
      <c r="G186" s="92" t="s">
        <v>2095</v>
      </c>
    </row>
    <row r="187" spans="1:8" x14ac:dyDescent="0.45">
      <c r="A187" t="s">
        <v>436</v>
      </c>
      <c r="B187" t="s">
        <v>149</v>
      </c>
      <c r="C187" t="s">
        <v>636</v>
      </c>
      <c r="D187" s="45"/>
      <c r="E187" s="112"/>
      <c r="F187" s="122"/>
      <c r="G187" s="92" t="s">
        <v>2095</v>
      </c>
    </row>
    <row r="188" spans="1:8" x14ac:dyDescent="0.45">
      <c r="A188" s="18" t="s">
        <v>150</v>
      </c>
      <c r="B188" s="18" t="s">
        <v>151</v>
      </c>
      <c r="C188" s="18" t="s">
        <v>637</v>
      </c>
      <c r="E188" s="112"/>
      <c r="F188" s="122"/>
      <c r="G188" s="92" t="s">
        <v>2095</v>
      </c>
    </row>
    <row r="189" spans="1:8" x14ac:dyDescent="0.45">
      <c r="A189" t="s">
        <v>437</v>
      </c>
      <c r="B189" t="s">
        <v>151</v>
      </c>
      <c r="C189" t="s">
        <v>637</v>
      </c>
      <c r="D189" s="45"/>
      <c r="E189" s="113"/>
      <c r="F189" s="123"/>
      <c r="G189" s="92" t="s">
        <v>2095</v>
      </c>
    </row>
    <row r="190" spans="1:8" x14ac:dyDescent="0.45">
      <c r="A190" s="18" t="s">
        <v>152</v>
      </c>
      <c r="B190" s="18" t="s">
        <v>153</v>
      </c>
      <c r="C190" s="18" t="s">
        <v>638</v>
      </c>
      <c r="D190" s="163" t="s">
        <v>1009</v>
      </c>
      <c r="E190" s="77"/>
      <c r="F190" s="120" t="s">
        <v>738</v>
      </c>
      <c r="G190" s="24" t="s">
        <v>611</v>
      </c>
    </row>
    <row r="191" spans="1:8" x14ac:dyDescent="0.45">
      <c r="A191" t="s">
        <v>438</v>
      </c>
      <c r="B191" t="s">
        <v>153</v>
      </c>
      <c r="C191" t="s">
        <v>638</v>
      </c>
      <c r="D191" s="163"/>
      <c r="E191" s="77"/>
      <c r="F191" s="120"/>
      <c r="G191" s="24" t="s">
        <v>611</v>
      </c>
    </row>
    <row r="192" spans="1:8" x14ac:dyDescent="0.45">
      <c r="A192" s="18" t="s">
        <v>154</v>
      </c>
      <c r="B192" s="18" t="s">
        <v>155</v>
      </c>
      <c r="C192" s="18" t="s">
        <v>639</v>
      </c>
      <c r="D192" s="163" t="s">
        <v>1010</v>
      </c>
      <c r="E192" s="77"/>
      <c r="F192" s="120" t="s">
        <v>739</v>
      </c>
      <c r="G192" s="24" t="s">
        <v>611</v>
      </c>
    </row>
    <row r="193" spans="1:8" x14ac:dyDescent="0.45">
      <c r="A193" t="s">
        <v>439</v>
      </c>
      <c r="B193" t="s">
        <v>155</v>
      </c>
      <c r="C193" t="s">
        <v>639</v>
      </c>
      <c r="D193" s="163"/>
      <c r="E193" s="77"/>
      <c r="F193" s="120"/>
      <c r="G193" s="24" t="s">
        <v>611</v>
      </c>
    </row>
    <row r="194" spans="1:8" x14ac:dyDescent="0.45">
      <c r="A194" s="18" t="s">
        <v>156</v>
      </c>
      <c r="B194" s="18" t="s">
        <v>157</v>
      </c>
      <c r="C194" s="18" t="s">
        <v>640</v>
      </c>
      <c r="D194" s="163" t="s">
        <v>606</v>
      </c>
      <c r="E194" s="111" t="s">
        <v>695</v>
      </c>
      <c r="F194" s="104" t="s">
        <v>740</v>
      </c>
      <c r="G194" s="78" t="s">
        <v>873</v>
      </c>
    </row>
    <row r="195" spans="1:8" x14ac:dyDescent="0.45">
      <c r="A195" t="s">
        <v>440</v>
      </c>
      <c r="B195" t="s">
        <v>157</v>
      </c>
      <c r="C195" t="s">
        <v>640</v>
      </c>
      <c r="D195" s="163"/>
      <c r="E195" s="113"/>
      <c r="F195" s="104"/>
      <c r="G195" s="78" t="s">
        <v>873</v>
      </c>
    </row>
    <row r="196" spans="1:8" x14ac:dyDescent="0.45">
      <c r="A196" s="18" t="s">
        <v>158</v>
      </c>
      <c r="B196" s="18" t="s">
        <v>159</v>
      </c>
      <c r="C196" s="18" t="s">
        <v>877</v>
      </c>
      <c r="D196" s="163" t="s">
        <v>1011</v>
      </c>
      <c r="E196" s="77"/>
      <c r="F196" s="120" t="s">
        <v>741</v>
      </c>
      <c r="G196" s="24" t="s">
        <v>611</v>
      </c>
    </row>
    <row r="197" spans="1:8" x14ac:dyDescent="0.45">
      <c r="A197" t="s">
        <v>442</v>
      </c>
      <c r="B197" t="s">
        <v>159</v>
      </c>
      <c r="C197" t="s">
        <v>877</v>
      </c>
      <c r="D197" s="163"/>
      <c r="E197" s="77"/>
      <c r="F197" s="120"/>
      <c r="G197" s="24" t="s">
        <v>611</v>
      </c>
    </row>
    <row r="198" spans="1:8" x14ac:dyDescent="0.45">
      <c r="A198" s="18" t="s">
        <v>160</v>
      </c>
      <c r="B198" s="18" t="s">
        <v>161</v>
      </c>
      <c r="C198" s="18" t="s">
        <v>641</v>
      </c>
      <c r="E198" s="111" t="s">
        <v>695</v>
      </c>
      <c r="F198" s="104" t="s">
        <v>742</v>
      </c>
      <c r="G198" s="78" t="s">
        <v>873</v>
      </c>
    </row>
    <row r="199" spans="1:8" x14ac:dyDescent="0.45">
      <c r="A199" t="s">
        <v>443</v>
      </c>
      <c r="B199" t="s">
        <v>161</v>
      </c>
      <c r="C199" t="s">
        <v>641</v>
      </c>
      <c r="D199" s="45"/>
      <c r="E199" s="113"/>
      <c r="F199" s="104"/>
      <c r="G199" s="78" t="s">
        <v>873</v>
      </c>
    </row>
    <row r="200" spans="1:8" x14ac:dyDescent="0.45">
      <c r="A200" s="18" t="s">
        <v>162</v>
      </c>
      <c r="B200" s="18" t="s">
        <v>163</v>
      </c>
      <c r="C200" s="18" t="s">
        <v>642</v>
      </c>
      <c r="E200" s="77"/>
      <c r="F200" s="120" t="s">
        <v>743</v>
      </c>
      <c r="G200" s="24" t="s">
        <v>611</v>
      </c>
      <c r="H200" s="89" t="s">
        <v>2138</v>
      </c>
    </row>
    <row r="201" spans="1:8" x14ac:dyDescent="0.45">
      <c r="A201" t="s">
        <v>445</v>
      </c>
      <c r="B201" t="s">
        <v>163</v>
      </c>
      <c r="C201" t="s">
        <v>642</v>
      </c>
      <c r="D201" s="45"/>
      <c r="E201" s="77"/>
      <c r="F201" s="120"/>
      <c r="G201" s="24" t="s">
        <v>611</v>
      </c>
    </row>
    <row r="202" spans="1:8" x14ac:dyDescent="0.45">
      <c r="A202" s="18" t="s">
        <v>164</v>
      </c>
      <c r="B202" s="18" t="s">
        <v>165</v>
      </c>
      <c r="C202" s="18" t="s">
        <v>643</v>
      </c>
      <c r="E202" s="77"/>
      <c r="F202" s="120" t="s">
        <v>744</v>
      </c>
      <c r="G202" s="24" t="s">
        <v>611</v>
      </c>
      <c r="H202" s="89" t="s">
        <v>2137</v>
      </c>
    </row>
    <row r="203" spans="1:8" x14ac:dyDescent="0.45">
      <c r="A203" t="s">
        <v>446</v>
      </c>
      <c r="B203" t="s">
        <v>165</v>
      </c>
      <c r="C203" t="s">
        <v>643</v>
      </c>
      <c r="D203" s="45"/>
      <c r="E203" s="77"/>
      <c r="F203" s="120"/>
      <c r="G203" s="24" t="s">
        <v>611</v>
      </c>
    </row>
    <row r="204" spans="1:8" x14ac:dyDescent="0.45">
      <c r="A204" s="18" t="s">
        <v>166</v>
      </c>
      <c r="B204" s="18" t="s">
        <v>167</v>
      </c>
      <c r="C204" s="18" t="s">
        <v>644</v>
      </c>
      <c r="E204" s="77"/>
      <c r="F204" s="120" t="s">
        <v>745</v>
      </c>
      <c r="G204" s="24" t="s">
        <v>611</v>
      </c>
    </row>
    <row r="205" spans="1:8" x14ac:dyDescent="0.45">
      <c r="A205" t="s">
        <v>447</v>
      </c>
      <c r="B205" t="s">
        <v>167</v>
      </c>
      <c r="C205" t="s">
        <v>644</v>
      </c>
      <c r="D205" s="45"/>
      <c r="E205" s="77"/>
      <c r="F205" s="120"/>
      <c r="G205" s="24" t="s">
        <v>611</v>
      </c>
    </row>
    <row r="206" spans="1:8" x14ac:dyDescent="0.45">
      <c r="A206" s="18" t="s">
        <v>168</v>
      </c>
      <c r="B206" s="18" t="s">
        <v>169</v>
      </c>
      <c r="C206" s="18" t="s">
        <v>645</v>
      </c>
      <c r="D206" s="163" t="s">
        <v>1012</v>
      </c>
      <c r="E206" s="77"/>
      <c r="F206" s="120" t="s">
        <v>746</v>
      </c>
      <c r="G206" s="24" t="s">
        <v>611</v>
      </c>
    </row>
    <row r="207" spans="1:8" x14ac:dyDescent="0.45">
      <c r="A207" t="s">
        <v>448</v>
      </c>
      <c r="B207" t="s">
        <v>169</v>
      </c>
      <c r="C207" t="s">
        <v>645</v>
      </c>
      <c r="D207" s="163"/>
      <c r="E207" s="77"/>
      <c r="F207" s="120"/>
      <c r="G207" s="24" t="s">
        <v>611</v>
      </c>
    </row>
    <row r="208" spans="1:8" x14ac:dyDescent="0.45">
      <c r="A208" s="18" t="s">
        <v>170</v>
      </c>
      <c r="B208" s="18" t="s">
        <v>234</v>
      </c>
      <c r="C208" s="18" t="s">
        <v>646</v>
      </c>
      <c r="E208" s="77"/>
      <c r="F208" s="120" t="s">
        <v>891</v>
      </c>
      <c r="G208" s="24" t="s">
        <v>611</v>
      </c>
      <c r="H208" s="89" t="s">
        <v>2139</v>
      </c>
    </row>
    <row r="209" spans="1:8" x14ac:dyDescent="0.45">
      <c r="A209" t="s">
        <v>449</v>
      </c>
      <c r="B209" t="s">
        <v>234</v>
      </c>
      <c r="C209" t="s">
        <v>646</v>
      </c>
      <c r="D209" s="45"/>
      <c r="E209" s="77"/>
      <c r="F209" s="120"/>
      <c r="G209" s="24" t="s">
        <v>611</v>
      </c>
      <c r="H209" s="89" t="s">
        <v>2140</v>
      </c>
    </row>
    <row r="210" spans="1:8" x14ac:dyDescent="0.45">
      <c r="A210" s="18" t="s">
        <v>235</v>
      </c>
      <c r="B210" s="18" t="s">
        <v>451</v>
      </c>
      <c r="C210" s="18" t="s">
        <v>647</v>
      </c>
      <c r="E210" s="77"/>
      <c r="F210" s="120" t="s">
        <v>892</v>
      </c>
      <c r="G210" s="24" t="s">
        <v>611</v>
      </c>
      <c r="H210" s="89" t="s">
        <v>2141</v>
      </c>
    </row>
    <row r="211" spans="1:8" x14ac:dyDescent="0.45">
      <c r="A211" t="s">
        <v>450</v>
      </c>
      <c r="B211" t="s">
        <v>451</v>
      </c>
      <c r="C211" t="s">
        <v>647</v>
      </c>
      <c r="D211" s="45"/>
      <c r="E211" s="77"/>
      <c r="F211" s="120"/>
      <c r="G211" s="24" t="s">
        <v>611</v>
      </c>
    </row>
    <row r="212" spans="1:8" x14ac:dyDescent="0.45">
      <c r="A212" s="18" t="s">
        <v>237</v>
      </c>
      <c r="B212" s="18" t="s">
        <v>238</v>
      </c>
      <c r="C212" s="18" t="s">
        <v>648</v>
      </c>
      <c r="D212" s="163" t="s">
        <v>1013</v>
      </c>
      <c r="E212" s="77"/>
      <c r="F212" s="120" t="s">
        <v>747</v>
      </c>
      <c r="G212" s="24" t="s">
        <v>611</v>
      </c>
    </row>
    <row r="213" spans="1:8" x14ac:dyDescent="0.45">
      <c r="A213" t="s">
        <v>452</v>
      </c>
      <c r="B213" t="s">
        <v>238</v>
      </c>
      <c r="C213" t="s">
        <v>648</v>
      </c>
      <c r="D213" s="163"/>
      <c r="E213" s="77"/>
      <c r="F213" s="120"/>
      <c r="G213" s="24" t="s">
        <v>611</v>
      </c>
    </row>
    <row r="214" spans="1:8" x14ac:dyDescent="0.45">
      <c r="A214"/>
      <c r="B214"/>
      <c r="C214"/>
      <c r="D214" s="45"/>
      <c r="E214" s="55"/>
      <c r="F214"/>
      <c r="G214"/>
    </row>
    <row r="215" spans="1:8" x14ac:dyDescent="0.45">
      <c r="A215" s="18" t="s">
        <v>239</v>
      </c>
      <c r="B215" s="18" t="s">
        <v>240</v>
      </c>
      <c r="C215" s="18" t="s">
        <v>649</v>
      </c>
      <c r="D215" s="163" t="s">
        <v>1015</v>
      </c>
      <c r="E215" s="77" t="s">
        <v>695</v>
      </c>
      <c r="F215" s="132" t="s">
        <v>748</v>
      </c>
      <c r="G215" s="24" t="s">
        <v>611</v>
      </c>
    </row>
    <row r="216" spans="1:8" x14ac:dyDescent="0.45">
      <c r="A216" t="s">
        <v>463</v>
      </c>
      <c r="B216" t="s">
        <v>240</v>
      </c>
      <c r="C216" t="s">
        <v>649</v>
      </c>
      <c r="D216" s="163"/>
      <c r="E216" s="77"/>
      <c r="F216" s="132"/>
      <c r="G216" s="24" t="s">
        <v>611</v>
      </c>
    </row>
    <row r="217" spans="1:8" x14ac:dyDescent="0.45">
      <c r="A217" s="46" t="s">
        <v>316</v>
      </c>
      <c r="B217" s="18" t="s">
        <v>240</v>
      </c>
      <c r="C217" s="18" t="s">
        <v>649</v>
      </c>
      <c r="D217" s="163"/>
      <c r="E217" s="77"/>
      <c r="F217" s="132"/>
      <c r="G217" s="24" t="s">
        <v>611</v>
      </c>
    </row>
    <row r="218" spans="1:8" x14ac:dyDescent="0.45">
      <c r="A218" s="47" t="s">
        <v>513</v>
      </c>
      <c r="B218" t="s">
        <v>240</v>
      </c>
      <c r="C218" s="18" t="s">
        <v>649</v>
      </c>
      <c r="D218" s="163"/>
      <c r="E218" s="77"/>
      <c r="F218" s="132"/>
      <c r="G218" s="24" t="s">
        <v>611</v>
      </c>
    </row>
    <row r="219" spans="1:8" x14ac:dyDescent="0.45">
      <c r="A219" s="18" t="s">
        <v>241</v>
      </c>
      <c r="B219" s="18" t="s">
        <v>242</v>
      </c>
      <c r="C219" s="18" t="s">
        <v>650</v>
      </c>
      <c r="E219" s="111" t="s">
        <v>695</v>
      </c>
      <c r="F219" s="133" t="s">
        <v>749</v>
      </c>
      <c r="G219" s="92" t="s">
        <v>2095</v>
      </c>
    </row>
    <row r="220" spans="1:8" x14ac:dyDescent="0.45">
      <c r="A220" t="s">
        <v>464</v>
      </c>
      <c r="B220" t="s">
        <v>242</v>
      </c>
      <c r="C220" t="s">
        <v>650</v>
      </c>
      <c r="D220" s="45"/>
      <c r="E220" s="112"/>
      <c r="F220" s="133"/>
      <c r="G220" s="92" t="s">
        <v>2095</v>
      </c>
    </row>
    <row r="221" spans="1:8" x14ac:dyDescent="0.45">
      <c r="A221" s="46" t="s">
        <v>317</v>
      </c>
      <c r="B221" s="18" t="s">
        <v>242</v>
      </c>
      <c r="C221" s="18" t="s">
        <v>650</v>
      </c>
      <c r="E221" s="112"/>
      <c r="F221" s="133"/>
      <c r="G221" s="92" t="s">
        <v>2095</v>
      </c>
    </row>
    <row r="222" spans="1:8" x14ac:dyDescent="0.45">
      <c r="A222" s="47" t="s">
        <v>514</v>
      </c>
      <c r="B222" t="s">
        <v>242</v>
      </c>
      <c r="C222" s="18" t="s">
        <v>650</v>
      </c>
      <c r="E222" s="113"/>
      <c r="F222" s="133"/>
      <c r="G222" s="92" t="s">
        <v>2095</v>
      </c>
    </row>
    <row r="223" spans="1:8" x14ac:dyDescent="0.45">
      <c r="A223" s="18" t="s">
        <v>243</v>
      </c>
      <c r="B223" s="18" t="s">
        <v>244</v>
      </c>
      <c r="C223" s="18" t="s">
        <v>651</v>
      </c>
      <c r="E223" s="77"/>
      <c r="F223" s="132" t="s">
        <v>750</v>
      </c>
      <c r="G223" s="24" t="s">
        <v>611</v>
      </c>
      <c r="H223" s="89" t="s">
        <v>2142</v>
      </c>
    </row>
    <row r="224" spans="1:8" x14ac:dyDescent="0.45">
      <c r="A224" t="s">
        <v>465</v>
      </c>
      <c r="B224" t="s">
        <v>244</v>
      </c>
      <c r="C224" t="s">
        <v>651</v>
      </c>
      <c r="D224" s="45"/>
      <c r="E224" s="77"/>
      <c r="F224" s="132"/>
      <c r="G224" s="24" t="s">
        <v>611</v>
      </c>
      <c r="H224" s="89" t="s">
        <v>2143</v>
      </c>
    </row>
    <row r="225" spans="1:8" x14ac:dyDescent="0.45">
      <c r="A225" s="46" t="s">
        <v>318</v>
      </c>
      <c r="B225" s="18" t="s">
        <v>244</v>
      </c>
      <c r="C225" s="18" t="s">
        <v>651</v>
      </c>
      <c r="E225" s="77"/>
      <c r="F225" s="132"/>
      <c r="G225" s="24" t="s">
        <v>611</v>
      </c>
    </row>
    <row r="226" spans="1:8" x14ac:dyDescent="0.45">
      <c r="A226" s="47" t="s">
        <v>515</v>
      </c>
      <c r="B226" t="s">
        <v>244</v>
      </c>
      <c r="C226" s="18" t="s">
        <v>651</v>
      </c>
      <c r="E226" s="77"/>
      <c r="F226" s="132"/>
      <c r="G226" s="24" t="s">
        <v>611</v>
      </c>
    </row>
    <row r="227" spans="1:8" x14ac:dyDescent="0.45">
      <c r="A227" s="18" t="s">
        <v>245</v>
      </c>
      <c r="B227" s="18" t="s">
        <v>246</v>
      </c>
      <c r="C227" s="18" t="s">
        <v>652</v>
      </c>
      <c r="E227" s="111" t="s">
        <v>695</v>
      </c>
      <c r="F227" s="104" t="s">
        <v>751</v>
      </c>
      <c r="G227" s="78" t="s">
        <v>2095</v>
      </c>
    </row>
    <row r="228" spans="1:8" x14ac:dyDescent="0.45">
      <c r="A228" t="s">
        <v>466</v>
      </c>
      <c r="B228" t="s">
        <v>246</v>
      </c>
      <c r="C228" t="s">
        <v>652</v>
      </c>
      <c r="D228" s="45"/>
      <c r="E228" s="113"/>
      <c r="F228" s="104"/>
      <c r="G228" s="78" t="s">
        <v>2095</v>
      </c>
    </row>
    <row r="229" spans="1:8" x14ac:dyDescent="0.45">
      <c r="A229" s="18" t="s">
        <v>247</v>
      </c>
      <c r="B229" s="18" t="s">
        <v>248</v>
      </c>
      <c r="C229" s="18" t="s">
        <v>653</v>
      </c>
      <c r="E229" s="77"/>
      <c r="F229" s="120" t="s">
        <v>752</v>
      </c>
      <c r="G229" s="24" t="s">
        <v>611</v>
      </c>
      <c r="H229" s="89" t="s">
        <v>2144</v>
      </c>
    </row>
    <row r="230" spans="1:8" x14ac:dyDescent="0.45">
      <c r="A230" t="s">
        <v>467</v>
      </c>
      <c r="B230" t="s">
        <v>248</v>
      </c>
      <c r="C230" t="s">
        <v>653</v>
      </c>
      <c r="D230" s="45"/>
      <c r="E230" s="77"/>
      <c r="F230" s="120"/>
      <c r="G230" s="24" t="s">
        <v>611</v>
      </c>
    </row>
    <row r="231" spans="1:8" x14ac:dyDescent="0.45">
      <c r="A231" s="18" t="s">
        <v>249</v>
      </c>
      <c r="B231" s="18" t="s">
        <v>250</v>
      </c>
      <c r="C231" s="18" t="s">
        <v>654</v>
      </c>
      <c r="D231" s="44" t="s">
        <v>625</v>
      </c>
      <c r="E231" s="111" t="s">
        <v>695</v>
      </c>
      <c r="F231" s="104" t="s">
        <v>753</v>
      </c>
      <c r="G231" s="78" t="s">
        <v>873</v>
      </c>
      <c r="H231" s="89" t="s">
        <v>2145</v>
      </c>
    </row>
    <row r="232" spans="1:8" x14ac:dyDescent="0.45">
      <c r="A232" t="s">
        <v>468</v>
      </c>
      <c r="B232" t="s">
        <v>250</v>
      </c>
      <c r="C232" t="s">
        <v>654</v>
      </c>
      <c r="D232" s="45"/>
      <c r="E232" s="113"/>
      <c r="F232" s="104"/>
      <c r="G232" s="78" t="s">
        <v>873</v>
      </c>
    </row>
    <row r="233" spans="1:8" x14ac:dyDescent="0.45">
      <c r="A233" s="18" t="s">
        <v>253</v>
      </c>
      <c r="B233" s="18" t="s">
        <v>470</v>
      </c>
      <c r="C233" s="18" t="s">
        <v>655</v>
      </c>
      <c r="D233" s="44" t="s">
        <v>625</v>
      </c>
      <c r="E233" s="93"/>
      <c r="F233" s="104" t="s">
        <v>754</v>
      </c>
      <c r="G233" s="78" t="s">
        <v>873</v>
      </c>
    </row>
    <row r="234" spans="1:8" x14ac:dyDescent="0.45">
      <c r="A234" t="s">
        <v>469</v>
      </c>
      <c r="B234" t="s">
        <v>470</v>
      </c>
      <c r="C234" t="s">
        <v>655</v>
      </c>
      <c r="D234" s="45"/>
      <c r="E234" s="93"/>
      <c r="F234" s="104"/>
      <c r="G234" s="78" t="s">
        <v>873</v>
      </c>
    </row>
    <row r="235" spans="1:8" x14ac:dyDescent="0.45">
      <c r="A235" s="18" t="s">
        <v>255</v>
      </c>
      <c r="B235" s="18" t="s">
        <v>564</v>
      </c>
      <c r="C235" s="18" t="s">
        <v>656</v>
      </c>
      <c r="D235" s="44" t="s">
        <v>625</v>
      </c>
      <c r="E235" s="93"/>
      <c r="F235" s="104" t="s">
        <v>755</v>
      </c>
      <c r="G235" s="78" t="s">
        <v>873</v>
      </c>
    </row>
    <row r="236" spans="1:8" x14ac:dyDescent="0.45">
      <c r="A236" t="s">
        <v>471</v>
      </c>
      <c r="B236" t="s">
        <v>564</v>
      </c>
      <c r="C236" t="s">
        <v>656</v>
      </c>
      <c r="D236" s="45"/>
      <c r="E236" s="93"/>
      <c r="F236" s="104"/>
      <c r="G236" s="78" t="s">
        <v>873</v>
      </c>
    </row>
    <row r="237" spans="1:8" x14ac:dyDescent="0.45">
      <c r="A237" s="18" t="s">
        <v>258</v>
      </c>
      <c r="B237" s="18" t="s">
        <v>259</v>
      </c>
      <c r="C237" s="18" t="s">
        <v>657</v>
      </c>
      <c r="D237" s="44" t="s">
        <v>625</v>
      </c>
      <c r="E237" s="93"/>
      <c r="F237" s="104" t="s">
        <v>756</v>
      </c>
      <c r="G237" s="78" t="s">
        <v>873</v>
      </c>
    </row>
    <row r="238" spans="1:8" x14ac:dyDescent="0.45">
      <c r="A238" t="s">
        <v>474</v>
      </c>
      <c r="B238" t="s">
        <v>259</v>
      </c>
      <c r="C238" t="s">
        <v>657</v>
      </c>
      <c r="D238" s="45"/>
      <c r="E238" s="93"/>
      <c r="F238" s="104"/>
      <c r="G238" s="78" t="s">
        <v>873</v>
      </c>
    </row>
    <row r="239" spans="1:8" x14ac:dyDescent="0.45">
      <c r="A239" s="18" t="s">
        <v>260</v>
      </c>
      <c r="B239" s="18" t="s">
        <v>261</v>
      </c>
      <c r="C239" s="18" t="s">
        <v>658</v>
      </c>
      <c r="D239" s="44" t="s">
        <v>625</v>
      </c>
      <c r="E239" s="93"/>
      <c r="F239" s="104" t="s">
        <v>757</v>
      </c>
      <c r="G239" s="78" t="s">
        <v>873</v>
      </c>
    </row>
    <row r="240" spans="1:8" x14ac:dyDescent="0.45">
      <c r="A240" t="s">
        <v>475</v>
      </c>
      <c r="B240" t="s">
        <v>261</v>
      </c>
      <c r="C240" t="s">
        <v>658</v>
      </c>
      <c r="D240" s="45"/>
      <c r="E240" s="93"/>
      <c r="F240" s="104"/>
      <c r="G240" s="78" t="s">
        <v>873</v>
      </c>
    </row>
    <row r="241" spans="1:7" x14ac:dyDescent="0.45">
      <c r="A241" s="18" t="s">
        <v>262</v>
      </c>
      <c r="B241" s="18" t="s">
        <v>263</v>
      </c>
      <c r="C241" s="18" t="s">
        <v>659</v>
      </c>
      <c r="D241" s="44" t="s">
        <v>625</v>
      </c>
      <c r="E241" s="93"/>
      <c r="F241" s="104" t="s">
        <v>758</v>
      </c>
      <c r="G241" s="78" t="s">
        <v>873</v>
      </c>
    </row>
    <row r="242" spans="1:7" x14ac:dyDescent="0.45">
      <c r="A242" t="s">
        <v>476</v>
      </c>
      <c r="B242" t="s">
        <v>263</v>
      </c>
      <c r="C242" t="s">
        <v>659</v>
      </c>
      <c r="D242" s="45"/>
      <c r="E242" s="93"/>
      <c r="F242" s="104"/>
      <c r="G242" s="78" t="s">
        <v>873</v>
      </c>
    </row>
    <row r="243" spans="1:7" x14ac:dyDescent="0.45">
      <c r="A243" s="18" t="s">
        <v>264</v>
      </c>
      <c r="B243" s="18" t="s">
        <v>265</v>
      </c>
      <c r="C243" s="18" t="s">
        <v>660</v>
      </c>
      <c r="D243" s="44" t="s">
        <v>625</v>
      </c>
      <c r="E243" s="93"/>
      <c r="F243" s="104" t="s">
        <v>759</v>
      </c>
      <c r="G243" s="78" t="s">
        <v>873</v>
      </c>
    </row>
    <row r="244" spans="1:7" x14ac:dyDescent="0.45">
      <c r="A244" t="s">
        <v>477</v>
      </c>
      <c r="B244" t="s">
        <v>265</v>
      </c>
      <c r="C244" t="s">
        <v>660</v>
      </c>
      <c r="D244" s="45"/>
      <c r="E244" s="93"/>
      <c r="F244" s="104"/>
      <c r="G244" s="78" t="s">
        <v>873</v>
      </c>
    </row>
    <row r="245" spans="1:7" x14ac:dyDescent="0.45">
      <c r="A245" s="18" t="s">
        <v>266</v>
      </c>
      <c r="B245" s="18" t="s">
        <v>267</v>
      </c>
      <c r="C245" s="18" t="s">
        <v>661</v>
      </c>
      <c r="D245" s="44" t="s">
        <v>625</v>
      </c>
      <c r="E245" s="93"/>
      <c r="F245" s="104" t="s">
        <v>760</v>
      </c>
      <c r="G245" s="78" t="s">
        <v>873</v>
      </c>
    </row>
    <row r="246" spans="1:7" x14ac:dyDescent="0.45">
      <c r="A246" t="s">
        <v>478</v>
      </c>
      <c r="B246" t="s">
        <v>267</v>
      </c>
      <c r="C246" t="s">
        <v>661</v>
      </c>
      <c r="D246" s="45"/>
      <c r="E246" s="93"/>
      <c r="F246" s="104"/>
      <c r="G246" s="78" t="s">
        <v>873</v>
      </c>
    </row>
    <row r="247" spans="1:7" x14ac:dyDescent="0.45">
      <c r="A247" s="18" t="s">
        <v>268</v>
      </c>
      <c r="B247" s="18" t="s">
        <v>269</v>
      </c>
      <c r="C247" s="18" t="s">
        <v>662</v>
      </c>
      <c r="D247" s="44" t="s">
        <v>625</v>
      </c>
      <c r="E247" s="93"/>
      <c r="F247" s="104" t="s">
        <v>761</v>
      </c>
      <c r="G247" s="78" t="s">
        <v>873</v>
      </c>
    </row>
    <row r="248" spans="1:7" x14ac:dyDescent="0.45">
      <c r="A248" t="s">
        <v>479</v>
      </c>
      <c r="B248" t="s">
        <v>269</v>
      </c>
      <c r="C248" t="s">
        <v>662</v>
      </c>
      <c r="D248" s="45"/>
      <c r="E248" s="93"/>
      <c r="F248" s="104"/>
      <c r="G248" s="78" t="s">
        <v>873</v>
      </c>
    </row>
    <row r="249" spans="1:7" x14ac:dyDescent="0.45">
      <c r="A249" s="18" t="s">
        <v>270</v>
      </c>
      <c r="B249" s="18" t="s">
        <v>271</v>
      </c>
      <c r="C249" s="18" t="s">
        <v>663</v>
      </c>
      <c r="D249" s="44" t="s">
        <v>625</v>
      </c>
      <c r="E249" s="93"/>
      <c r="F249" s="104" t="s">
        <v>2072</v>
      </c>
      <c r="G249" s="78" t="s">
        <v>873</v>
      </c>
    </row>
    <row r="250" spans="1:7" x14ac:dyDescent="0.45">
      <c r="A250" t="s">
        <v>480</v>
      </c>
      <c r="B250" t="s">
        <v>271</v>
      </c>
      <c r="C250" t="s">
        <v>663</v>
      </c>
      <c r="D250" s="45"/>
      <c r="E250" s="93"/>
      <c r="F250" s="104"/>
      <c r="G250" s="78" t="s">
        <v>873</v>
      </c>
    </row>
    <row r="251" spans="1:7" x14ac:dyDescent="0.45">
      <c r="A251" s="18" t="s">
        <v>273</v>
      </c>
      <c r="B251" s="18" t="s">
        <v>274</v>
      </c>
      <c r="C251" s="18" t="s">
        <v>664</v>
      </c>
      <c r="D251" s="44" t="s">
        <v>625</v>
      </c>
      <c r="E251" s="93"/>
      <c r="F251" s="104" t="s">
        <v>762</v>
      </c>
      <c r="G251" s="78" t="s">
        <v>873</v>
      </c>
    </row>
    <row r="252" spans="1:7" x14ac:dyDescent="0.45">
      <c r="A252" t="s">
        <v>482</v>
      </c>
      <c r="B252" t="s">
        <v>274</v>
      </c>
      <c r="C252" t="s">
        <v>664</v>
      </c>
      <c r="D252" s="45"/>
      <c r="E252" s="93"/>
      <c r="F252" s="104"/>
      <c r="G252" s="78" t="s">
        <v>873</v>
      </c>
    </row>
    <row r="253" spans="1:7" x14ac:dyDescent="0.45">
      <c r="A253" s="18" t="s">
        <v>275</v>
      </c>
      <c r="B253" s="18" t="s">
        <v>555</v>
      </c>
      <c r="C253" s="18" t="s">
        <v>665</v>
      </c>
      <c r="E253" s="93"/>
      <c r="F253" s="104" t="s">
        <v>763</v>
      </c>
      <c r="G253" s="78" t="s">
        <v>873</v>
      </c>
    </row>
    <row r="254" spans="1:7" x14ac:dyDescent="0.45">
      <c r="A254" t="s">
        <v>483</v>
      </c>
      <c r="B254" t="s">
        <v>555</v>
      </c>
      <c r="C254" t="s">
        <v>665</v>
      </c>
      <c r="D254" s="45"/>
      <c r="E254" s="93"/>
      <c r="F254" s="104"/>
      <c r="G254" s="78" t="s">
        <v>873</v>
      </c>
    </row>
    <row r="257" spans="1:8" ht="24" thickBot="1" x14ac:dyDescent="0.5">
      <c r="A257" s="36" t="s">
        <v>221</v>
      </c>
      <c r="B257" s="36" t="s">
        <v>222</v>
      </c>
      <c r="C257" s="36" t="s">
        <v>691</v>
      </c>
      <c r="E257" s="84" t="s">
        <v>2096</v>
      </c>
      <c r="F257" s="80" t="s">
        <v>766</v>
      </c>
      <c r="G257" s="81" t="s">
        <v>618</v>
      </c>
    </row>
    <row r="258" spans="1:8" ht="24" thickTop="1" x14ac:dyDescent="0.45">
      <c r="A258" s="18" t="s">
        <v>143</v>
      </c>
      <c r="B258" s="18" t="s">
        <v>144</v>
      </c>
      <c r="C258" s="18" t="s">
        <v>633</v>
      </c>
      <c r="D258" s="32" t="s">
        <v>2146</v>
      </c>
      <c r="E258" s="76" t="s">
        <v>694</v>
      </c>
      <c r="F258" s="30" t="s">
        <v>959</v>
      </c>
      <c r="G258" s="24" t="s">
        <v>611</v>
      </c>
      <c r="H258" s="89" t="s">
        <v>2147</v>
      </c>
    </row>
    <row r="259" spans="1:8" x14ac:dyDescent="0.45">
      <c r="A259" s="18" t="s">
        <v>145</v>
      </c>
      <c r="B259" s="18" t="s">
        <v>228</v>
      </c>
      <c r="C259" s="18" t="s">
        <v>634</v>
      </c>
      <c r="E259" s="52"/>
      <c r="F259" s="30" t="s">
        <v>960</v>
      </c>
      <c r="G259" s="24" t="s">
        <v>611</v>
      </c>
    </row>
    <row r="260" spans="1:8" x14ac:dyDescent="0.45">
      <c r="A260" s="18" t="s">
        <v>277</v>
      </c>
      <c r="B260" s="18" t="s">
        <v>8</v>
      </c>
      <c r="C260" s="18" t="s">
        <v>573</v>
      </c>
      <c r="E260" s="107" t="s">
        <v>620</v>
      </c>
      <c r="F260" s="108"/>
      <c r="G260" s="155" t="s">
        <v>611</v>
      </c>
    </row>
    <row r="261" spans="1:8" x14ac:dyDescent="0.45">
      <c r="A261" s="18" t="s">
        <v>279</v>
      </c>
      <c r="B261" s="18" t="s">
        <v>9</v>
      </c>
      <c r="C261" s="18" t="s">
        <v>601</v>
      </c>
      <c r="E261" s="107"/>
      <c r="F261" s="108"/>
      <c r="G261" s="156"/>
    </row>
    <row r="262" spans="1:8" x14ac:dyDescent="0.45">
      <c r="C262" s="23"/>
    </row>
    <row r="263" spans="1:8" ht="24" thickBot="1" x14ac:dyDescent="0.5">
      <c r="A263" s="36" t="s">
        <v>333</v>
      </c>
      <c r="B263" s="36" t="s">
        <v>334</v>
      </c>
      <c r="C263" s="36" t="s">
        <v>666</v>
      </c>
      <c r="E263" s="84" t="s">
        <v>2096</v>
      </c>
      <c r="F263" s="80" t="s">
        <v>767</v>
      </c>
      <c r="G263" s="81" t="s">
        <v>618</v>
      </c>
    </row>
    <row r="264" spans="1:8" ht="24" thickTop="1" x14ac:dyDescent="0.45">
      <c r="A264" s="18" t="s">
        <v>335</v>
      </c>
      <c r="B264" s="18" t="s">
        <v>901</v>
      </c>
      <c r="C264" s="18" t="s">
        <v>902</v>
      </c>
      <c r="D264" s="32" t="s">
        <v>187</v>
      </c>
      <c r="E264" s="96" t="s">
        <v>695</v>
      </c>
      <c r="F264" s="87" t="s">
        <v>787</v>
      </c>
      <c r="G264" s="97" t="s">
        <v>614</v>
      </c>
    </row>
    <row r="265" spans="1:8" x14ac:dyDescent="0.45">
      <c r="A265" s="18" t="s">
        <v>337</v>
      </c>
      <c r="B265" s="18" t="s">
        <v>338</v>
      </c>
      <c r="C265" s="18" t="s">
        <v>2073</v>
      </c>
      <c r="D265" s="32" t="s">
        <v>2064</v>
      </c>
      <c r="E265" s="77"/>
      <c r="F265" s="30" t="s">
        <v>2074</v>
      </c>
      <c r="G265" s="24" t="s">
        <v>611</v>
      </c>
    </row>
    <row r="266" spans="1:8" x14ac:dyDescent="0.45">
      <c r="A266" s="18" t="s">
        <v>339</v>
      </c>
      <c r="B266" s="18" t="s">
        <v>340</v>
      </c>
      <c r="C266" s="18" t="s">
        <v>667</v>
      </c>
      <c r="E266" s="95" t="s">
        <v>695</v>
      </c>
      <c r="F266" s="78" t="s">
        <v>768</v>
      </c>
      <c r="G266" s="78" t="s">
        <v>614</v>
      </c>
    </row>
    <row r="267" spans="1:8" x14ac:dyDescent="0.45">
      <c r="A267" s="18" t="s">
        <v>342</v>
      </c>
      <c r="B267" s="18" t="s">
        <v>549</v>
      </c>
      <c r="C267" s="18" t="s">
        <v>668</v>
      </c>
      <c r="E267" s="95" t="s">
        <v>695</v>
      </c>
      <c r="F267" s="78" t="s">
        <v>974</v>
      </c>
      <c r="G267" s="78" t="s">
        <v>611</v>
      </c>
      <c r="H267" s="89" t="s">
        <v>2161</v>
      </c>
    </row>
    <row r="268" spans="1:8" x14ac:dyDescent="0.45">
      <c r="A268" s="18" t="s">
        <v>343</v>
      </c>
      <c r="B268" s="18" t="s">
        <v>9</v>
      </c>
      <c r="C268" s="18" t="s">
        <v>601</v>
      </c>
      <c r="E268" s="106" t="s">
        <v>620</v>
      </c>
      <c r="F268" s="106"/>
      <c r="G268" s="26" t="s">
        <v>611</v>
      </c>
    </row>
    <row r="271" spans="1:8" ht="24" thickBot="1" x14ac:dyDescent="0.5">
      <c r="A271" s="38" t="s">
        <v>419</v>
      </c>
      <c r="B271" s="38" t="s">
        <v>420</v>
      </c>
      <c r="C271" s="38" t="s">
        <v>889</v>
      </c>
      <c r="D271" s="45"/>
      <c r="E271" s="84" t="s">
        <v>2096</v>
      </c>
      <c r="F271" s="80" t="s">
        <v>887</v>
      </c>
      <c r="G271" s="81" t="s">
        <v>618</v>
      </c>
    </row>
    <row r="272" spans="1:8" ht="24" thickTop="1" x14ac:dyDescent="0.45">
      <c r="A272" t="s">
        <v>430</v>
      </c>
      <c r="B272" t="s">
        <v>431</v>
      </c>
      <c r="C272" t="s">
        <v>875</v>
      </c>
      <c r="D272" s="45" t="s">
        <v>1006</v>
      </c>
      <c r="E272" s="77"/>
      <c r="F272" s="50" t="s">
        <v>961</v>
      </c>
      <c r="G272" s="24" t="s">
        <v>611</v>
      </c>
    </row>
    <row r="273" spans="1:8" x14ac:dyDescent="0.45">
      <c r="A273" t="s">
        <v>432</v>
      </c>
      <c r="B273" t="s">
        <v>433</v>
      </c>
      <c r="C273" t="s">
        <v>876</v>
      </c>
      <c r="D273" s="45" t="s">
        <v>1007</v>
      </c>
      <c r="E273" s="77"/>
      <c r="F273" s="30" t="s">
        <v>962</v>
      </c>
      <c r="G273" s="24" t="s">
        <v>611</v>
      </c>
    </row>
    <row r="274" spans="1:8" x14ac:dyDescent="0.45">
      <c r="A274" t="s">
        <v>453</v>
      </c>
      <c r="B274" t="s">
        <v>454</v>
      </c>
      <c r="C274" t="s">
        <v>878</v>
      </c>
      <c r="D274" s="45"/>
      <c r="E274" s="77"/>
      <c r="F274" s="50" t="s">
        <v>963</v>
      </c>
      <c r="G274" s="24" t="s">
        <v>611</v>
      </c>
      <c r="H274" s="89" t="s">
        <v>2149</v>
      </c>
    </row>
    <row r="275" spans="1:8" x14ac:dyDescent="0.45">
      <c r="A275" t="s">
        <v>455</v>
      </c>
      <c r="B275" t="s">
        <v>456</v>
      </c>
      <c r="C275" t="s">
        <v>879</v>
      </c>
      <c r="D275" s="98" t="s">
        <v>2150</v>
      </c>
      <c r="E275" s="93"/>
      <c r="F275" s="100" t="s">
        <v>964</v>
      </c>
      <c r="G275" s="78" t="s">
        <v>618</v>
      </c>
      <c r="H275" s="99"/>
    </row>
    <row r="276" spans="1:8" x14ac:dyDescent="0.45">
      <c r="A276" t="s">
        <v>457</v>
      </c>
      <c r="B276" t="s">
        <v>458</v>
      </c>
      <c r="C276" t="s">
        <v>880</v>
      </c>
      <c r="D276" s="45" t="s">
        <v>2151</v>
      </c>
      <c r="E276" s="93"/>
      <c r="F276" s="100" t="s">
        <v>965</v>
      </c>
      <c r="G276" s="78" t="s">
        <v>618</v>
      </c>
    </row>
    <row r="277" spans="1:8" x14ac:dyDescent="0.45">
      <c r="A277" t="s">
        <v>459</v>
      </c>
      <c r="B277" t="s">
        <v>460</v>
      </c>
      <c r="C277" t="s">
        <v>881</v>
      </c>
      <c r="D277" s="45" t="s">
        <v>1014</v>
      </c>
      <c r="E277" s="77"/>
      <c r="F277" s="50" t="s">
        <v>966</v>
      </c>
      <c r="G277" s="24" t="s">
        <v>611</v>
      </c>
    </row>
    <row r="278" spans="1:8" x14ac:dyDescent="0.45">
      <c r="A278" t="s">
        <v>461</v>
      </c>
      <c r="B278" t="s">
        <v>462</v>
      </c>
      <c r="C278" t="s">
        <v>882</v>
      </c>
      <c r="D278" s="45"/>
      <c r="E278" s="77"/>
      <c r="F278" s="50" t="s">
        <v>967</v>
      </c>
      <c r="G278" s="24" t="s">
        <v>611</v>
      </c>
      <c r="H278" s="89" t="s">
        <v>2152</v>
      </c>
    </row>
    <row r="279" spans="1:8" x14ac:dyDescent="0.45">
      <c r="A279" t="s">
        <v>485</v>
      </c>
      <c r="B279" t="s">
        <v>8</v>
      </c>
      <c r="C279" t="s">
        <v>573</v>
      </c>
      <c r="D279" s="45"/>
      <c r="E279" s="106" t="s">
        <v>620</v>
      </c>
      <c r="F279" s="106"/>
      <c r="G279" s="105" t="s">
        <v>611</v>
      </c>
    </row>
    <row r="280" spans="1:8" x14ac:dyDescent="0.45">
      <c r="A280" t="s">
        <v>486</v>
      </c>
      <c r="B280" t="s">
        <v>9</v>
      </c>
      <c r="C280" t="s">
        <v>601</v>
      </c>
      <c r="D280" s="45"/>
      <c r="E280" s="106"/>
      <c r="F280" s="106"/>
      <c r="G280" s="105"/>
    </row>
    <row r="282" spans="1:8" x14ac:dyDescent="0.45">
      <c r="C282" s="23"/>
    </row>
    <row r="283" spans="1:8" x14ac:dyDescent="0.45">
      <c r="C283" s="23"/>
      <c r="E283" s="124" t="s">
        <v>906</v>
      </c>
      <c r="F283" s="124"/>
      <c r="G283" s="28" t="s">
        <v>613</v>
      </c>
    </row>
    <row r="284" spans="1:8" ht="24" thickBot="1" x14ac:dyDescent="0.5">
      <c r="A284" s="17" t="s">
        <v>897</v>
      </c>
      <c r="B284" s="17" t="s">
        <v>898</v>
      </c>
      <c r="C284" s="1" t="s">
        <v>899</v>
      </c>
      <c r="E284" s="84" t="s">
        <v>2096</v>
      </c>
      <c r="F284" s="80" t="s">
        <v>905</v>
      </c>
      <c r="G284" s="81" t="s">
        <v>618</v>
      </c>
    </row>
    <row r="285" spans="1:8" ht="24" thickTop="1" x14ac:dyDescent="0.45">
      <c r="A285" s="18" t="s">
        <v>284</v>
      </c>
      <c r="B285" s="18" t="s">
        <v>285</v>
      </c>
      <c r="C285" s="18" t="s">
        <v>669</v>
      </c>
      <c r="D285" s="32" t="s">
        <v>621</v>
      </c>
      <c r="E285" s="93" t="s">
        <v>695</v>
      </c>
      <c r="F285" s="104" t="s">
        <v>792</v>
      </c>
      <c r="G285" s="78" t="s">
        <v>611</v>
      </c>
      <c r="H285" s="89" t="s">
        <v>2153</v>
      </c>
    </row>
    <row r="286" spans="1:8" x14ac:dyDescent="0.45">
      <c r="A286" t="s">
        <v>492</v>
      </c>
      <c r="B286" t="s">
        <v>285</v>
      </c>
      <c r="C286" s="18" t="s">
        <v>669</v>
      </c>
      <c r="E286" s="93"/>
      <c r="F286" s="104"/>
      <c r="G286" s="78" t="s">
        <v>611</v>
      </c>
    </row>
    <row r="287" spans="1:8" x14ac:dyDescent="0.45">
      <c r="A287" s="18" t="s">
        <v>287</v>
      </c>
      <c r="B287" s="18" t="s">
        <v>288</v>
      </c>
      <c r="C287" s="18" t="s">
        <v>670</v>
      </c>
      <c r="D287" s="32" t="s">
        <v>621</v>
      </c>
      <c r="E287" s="93"/>
      <c r="F287" s="104" t="s">
        <v>769</v>
      </c>
      <c r="G287" s="78" t="s">
        <v>611</v>
      </c>
    </row>
    <row r="288" spans="1:8" x14ac:dyDescent="0.45">
      <c r="A288" t="s">
        <v>493</v>
      </c>
      <c r="B288" t="s">
        <v>288</v>
      </c>
      <c r="C288" s="18" t="s">
        <v>670</v>
      </c>
      <c r="E288" s="93"/>
      <c r="F288" s="104"/>
      <c r="G288" s="78" t="s">
        <v>611</v>
      </c>
    </row>
    <row r="289" spans="1:8" x14ac:dyDescent="0.45">
      <c r="A289" s="18" t="s">
        <v>289</v>
      </c>
      <c r="B289" s="18" t="s">
        <v>290</v>
      </c>
      <c r="C289" s="18" t="s">
        <v>671</v>
      </c>
      <c r="D289" s="32" t="s">
        <v>621</v>
      </c>
      <c r="E289" s="93"/>
      <c r="F289" s="104" t="s">
        <v>770</v>
      </c>
      <c r="G289" s="78" t="s">
        <v>611</v>
      </c>
    </row>
    <row r="290" spans="1:8" x14ac:dyDescent="0.45">
      <c r="A290" t="s">
        <v>494</v>
      </c>
      <c r="B290" t="s">
        <v>290</v>
      </c>
      <c r="C290" s="18" t="s">
        <v>671</v>
      </c>
      <c r="E290" s="93"/>
      <c r="F290" s="104"/>
      <c r="G290" s="78" t="s">
        <v>611</v>
      </c>
    </row>
    <row r="291" spans="1:8" x14ac:dyDescent="0.45">
      <c r="A291" s="18" t="s">
        <v>291</v>
      </c>
      <c r="B291" s="18" t="s">
        <v>292</v>
      </c>
      <c r="C291" s="18" t="s">
        <v>672</v>
      </c>
      <c r="D291" s="32" t="s">
        <v>622</v>
      </c>
      <c r="E291" s="93"/>
      <c r="F291" s="104" t="s">
        <v>771</v>
      </c>
      <c r="G291" s="78" t="s">
        <v>614</v>
      </c>
    </row>
    <row r="292" spans="1:8" x14ac:dyDescent="0.45">
      <c r="A292" t="s">
        <v>495</v>
      </c>
      <c r="B292" t="s">
        <v>292</v>
      </c>
      <c r="C292" s="18" t="s">
        <v>672</v>
      </c>
      <c r="E292" s="93"/>
      <c r="F292" s="104"/>
      <c r="G292" s="78" t="s">
        <v>614</v>
      </c>
    </row>
    <row r="293" spans="1:8" x14ac:dyDescent="0.45">
      <c r="A293" s="18" t="s">
        <v>295</v>
      </c>
      <c r="B293" s="18" t="s">
        <v>296</v>
      </c>
      <c r="C293" s="18" t="s">
        <v>673</v>
      </c>
      <c r="D293" s="32" t="s">
        <v>622</v>
      </c>
      <c r="E293" s="93"/>
      <c r="F293" s="104" t="s">
        <v>772</v>
      </c>
      <c r="G293" s="78" t="s">
        <v>614</v>
      </c>
    </row>
    <row r="294" spans="1:8" x14ac:dyDescent="0.45">
      <c r="A294" t="s">
        <v>497</v>
      </c>
      <c r="B294" t="s">
        <v>296</v>
      </c>
      <c r="C294" s="18" t="s">
        <v>673</v>
      </c>
      <c r="E294" s="93"/>
      <c r="F294" s="104"/>
      <c r="G294" s="78" t="s">
        <v>614</v>
      </c>
    </row>
    <row r="295" spans="1:8" x14ac:dyDescent="0.45">
      <c r="A295" s="18" t="s">
        <v>297</v>
      </c>
      <c r="B295" s="18" t="s">
        <v>298</v>
      </c>
      <c r="C295" s="18" t="s">
        <v>674</v>
      </c>
      <c r="D295" s="32" t="s">
        <v>621</v>
      </c>
      <c r="E295" s="93"/>
      <c r="F295" s="104" t="s">
        <v>773</v>
      </c>
      <c r="G295" s="78" t="s">
        <v>611</v>
      </c>
    </row>
    <row r="296" spans="1:8" x14ac:dyDescent="0.45">
      <c r="A296" t="s">
        <v>498</v>
      </c>
      <c r="B296" t="s">
        <v>298</v>
      </c>
      <c r="C296" s="18" t="s">
        <v>674</v>
      </c>
      <c r="E296" s="93"/>
      <c r="F296" s="104"/>
      <c r="G296" s="78" t="s">
        <v>611</v>
      </c>
    </row>
    <row r="297" spans="1:8" x14ac:dyDescent="0.45">
      <c r="A297" s="18" t="s">
        <v>299</v>
      </c>
      <c r="B297" s="18" t="s">
        <v>300</v>
      </c>
      <c r="C297" s="18" t="s">
        <v>675</v>
      </c>
      <c r="D297" s="32" t="s">
        <v>621</v>
      </c>
      <c r="E297" s="93"/>
      <c r="F297" s="104" t="s">
        <v>774</v>
      </c>
      <c r="G297" s="78" t="s">
        <v>611</v>
      </c>
    </row>
    <row r="298" spans="1:8" x14ac:dyDescent="0.45">
      <c r="A298" t="s">
        <v>499</v>
      </c>
      <c r="B298" s="18" t="s">
        <v>300</v>
      </c>
      <c r="C298" s="18" t="s">
        <v>675</v>
      </c>
      <c r="E298" s="93"/>
      <c r="F298" s="104"/>
      <c r="G298" s="78" t="s">
        <v>611</v>
      </c>
    </row>
    <row r="299" spans="1:8" x14ac:dyDescent="0.45">
      <c r="A299" s="18" t="s">
        <v>301</v>
      </c>
      <c r="B299" s="18" t="s">
        <v>302</v>
      </c>
      <c r="C299" s="18" t="s">
        <v>676</v>
      </c>
      <c r="D299" s="32" t="s">
        <v>621</v>
      </c>
      <c r="E299" s="93"/>
      <c r="F299" s="104" t="s">
        <v>775</v>
      </c>
      <c r="G299" s="78" t="s">
        <v>611</v>
      </c>
    </row>
    <row r="300" spans="1:8" x14ac:dyDescent="0.45">
      <c r="A300" t="s">
        <v>501</v>
      </c>
      <c r="B300" s="18" t="s">
        <v>302</v>
      </c>
      <c r="C300" s="18" t="s">
        <v>676</v>
      </c>
      <c r="E300" s="93"/>
      <c r="F300" s="104"/>
      <c r="G300" s="78" t="s">
        <v>611</v>
      </c>
    </row>
    <row r="301" spans="1:8" x14ac:dyDescent="0.45">
      <c r="A301" s="18" t="s">
        <v>303</v>
      </c>
      <c r="B301" s="18" t="s">
        <v>556</v>
      </c>
      <c r="C301" s="18" t="s">
        <v>677</v>
      </c>
      <c r="D301" s="32" t="s">
        <v>623</v>
      </c>
      <c r="E301" s="93"/>
      <c r="F301" s="104" t="s">
        <v>776</v>
      </c>
      <c r="G301" s="78" t="s">
        <v>611</v>
      </c>
    </row>
    <row r="302" spans="1:8" x14ac:dyDescent="0.45">
      <c r="A302" t="s">
        <v>503</v>
      </c>
      <c r="B302" t="s">
        <v>556</v>
      </c>
      <c r="C302" s="18" t="s">
        <v>677</v>
      </c>
      <c r="E302" s="93"/>
      <c r="F302" s="104"/>
      <c r="G302" s="78" t="s">
        <v>611</v>
      </c>
    </row>
    <row r="303" spans="1:8" x14ac:dyDescent="0.45">
      <c r="A303" s="18" t="s">
        <v>304</v>
      </c>
      <c r="B303" s="18" t="s">
        <v>305</v>
      </c>
      <c r="C303" s="18" t="s">
        <v>678</v>
      </c>
      <c r="E303" s="77"/>
      <c r="F303" s="120" t="s">
        <v>777</v>
      </c>
      <c r="G303" s="24" t="s">
        <v>611</v>
      </c>
      <c r="H303" s="89" t="s">
        <v>2154</v>
      </c>
    </row>
    <row r="304" spans="1:8" x14ac:dyDescent="0.45">
      <c r="A304" t="s">
        <v>504</v>
      </c>
      <c r="B304" t="s">
        <v>305</v>
      </c>
      <c r="C304" s="18" t="s">
        <v>678</v>
      </c>
      <c r="E304" s="77"/>
      <c r="F304" s="120"/>
      <c r="G304" s="24" t="s">
        <v>611</v>
      </c>
    </row>
    <row r="305" spans="1:8" x14ac:dyDescent="0.45">
      <c r="A305" s="18" t="s">
        <v>306</v>
      </c>
      <c r="B305" s="18" t="s">
        <v>506</v>
      </c>
      <c r="C305" s="18" t="s">
        <v>679</v>
      </c>
      <c r="E305" s="93"/>
      <c r="F305" s="104" t="s">
        <v>778</v>
      </c>
      <c r="G305" s="78" t="s">
        <v>611</v>
      </c>
    </row>
    <row r="306" spans="1:8" x14ac:dyDescent="0.45">
      <c r="A306" t="s">
        <v>505</v>
      </c>
      <c r="B306" t="s">
        <v>506</v>
      </c>
      <c r="C306" s="18" t="s">
        <v>679</v>
      </c>
      <c r="E306" s="93"/>
      <c r="F306" s="104"/>
      <c r="G306" s="78" t="s">
        <v>611</v>
      </c>
    </row>
    <row r="307" spans="1:8" x14ac:dyDescent="0.45">
      <c r="A307" s="18" t="s">
        <v>308</v>
      </c>
      <c r="B307" s="18" t="s">
        <v>309</v>
      </c>
      <c r="C307" s="18" t="s">
        <v>680</v>
      </c>
      <c r="E307" s="93"/>
      <c r="F307" s="104" t="s">
        <v>779</v>
      </c>
      <c r="G307" s="92" t="s">
        <v>618</v>
      </c>
      <c r="H307" s="89" t="s">
        <v>2155</v>
      </c>
    </row>
    <row r="308" spans="1:8" x14ac:dyDescent="0.45">
      <c r="A308" t="s">
        <v>507</v>
      </c>
      <c r="B308" t="s">
        <v>309</v>
      </c>
      <c r="C308" s="18" t="s">
        <v>680</v>
      </c>
      <c r="E308" s="93"/>
      <c r="F308" s="104"/>
      <c r="G308" s="92" t="s">
        <v>618</v>
      </c>
    </row>
    <row r="309" spans="1:8" x14ac:dyDescent="0.45">
      <c r="A309" s="18" t="s">
        <v>314</v>
      </c>
      <c r="B309" s="18" t="s">
        <v>315</v>
      </c>
      <c r="C309" s="18" t="s">
        <v>682</v>
      </c>
      <c r="E309" s="93"/>
      <c r="F309" s="104" t="s">
        <v>780</v>
      </c>
      <c r="G309" s="78" t="s">
        <v>611</v>
      </c>
    </row>
    <row r="310" spans="1:8" x14ac:dyDescent="0.45">
      <c r="A310" t="s">
        <v>512</v>
      </c>
      <c r="B310" t="s">
        <v>315</v>
      </c>
      <c r="C310" s="18" t="s">
        <v>682</v>
      </c>
      <c r="E310" s="93"/>
      <c r="F310" s="104"/>
      <c r="G310" s="78" t="s">
        <v>611</v>
      </c>
    </row>
    <row r="311" spans="1:8" x14ac:dyDescent="0.45">
      <c r="A311" s="18" t="s">
        <v>319</v>
      </c>
      <c r="B311" s="18" t="s">
        <v>320</v>
      </c>
      <c r="C311" s="18" t="s">
        <v>683</v>
      </c>
      <c r="E311" s="93"/>
      <c r="F311" s="104" t="s">
        <v>781</v>
      </c>
      <c r="G311" s="78" t="s">
        <v>2095</v>
      </c>
    </row>
    <row r="312" spans="1:8" x14ac:dyDescent="0.45">
      <c r="A312" t="s">
        <v>516</v>
      </c>
      <c r="B312" t="s">
        <v>320</v>
      </c>
      <c r="C312" s="18" t="s">
        <v>683</v>
      </c>
      <c r="E312" s="93"/>
      <c r="F312" s="104"/>
      <c r="G312" s="78" t="s">
        <v>2095</v>
      </c>
    </row>
    <row r="313" spans="1:8" x14ac:dyDescent="0.45">
      <c r="A313" s="18" t="s">
        <v>321</v>
      </c>
      <c r="B313" s="18" t="s">
        <v>322</v>
      </c>
      <c r="C313" s="18" t="s">
        <v>684</v>
      </c>
      <c r="E313" s="77"/>
      <c r="F313" s="120" t="s">
        <v>782</v>
      </c>
      <c r="G313" s="24" t="s">
        <v>611</v>
      </c>
      <c r="H313" s="89" t="s">
        <v>2157</v>
      </c>
    </row>
    <row r="314" spans="1:8" x14ac:dyDescent="0.45">
      <c r="A314" t="s">
        <v>517</v>
      </c>
      <c r="B314" t="s">
        <v>322</v>
      </c>
      <c r="C314" s="18" t="s">
        <v>684</v>
      </c>
      <c r="E314" s="77"/>
      <c r="F314" s="120"/>
      <c r="G314" s="24" t="s">
        <v>611</v>
      </c>
    </row>
    <row r="315" spans="1:8" x14ac:dyDescent="0.45">
      <c r="A315" s="18" t="s">
        <v>323</v>
      </c>
      <c r="B315" s="18" t="s">
        <v>324</v>
      </c>
      <c r="C315" s="18" t="s">
        <v>685</v>
      </c>
      <c r="E315" s="93"/>
      <c r="F315" s="104" t="s">
        <v>783</v>
      </c>
      <c r="G315" s="78" t="s">
        <v>873</v>
      </c>
    </row>
    <row r="316" spans="1:8" x14ac:dyDescent="0.45">
      <c r="A316" t="s">
        <v>518</v>
      </c>
      <c r="B316" t="s">
        <v>324</v>
      </c>
      <c r="C316" s="18" t="s">
        <v>685</v>
      </c>
      <c r="E316" s="93"/>
      <c r="F316" s="104"/>
      <c r="G316" s="78" t="s">
        <v>873</v>
      </c>
    </row>
    <row r="317" spans="1:8" x14ac:dyDescent="0.45">
      <c r="A317" s="18" t="s">
        <v>326</v>
      </c>
      <c r="B317" s="18" t="s">
        <v>327</v>
      </c>
      <c r="C317" s="18" t="s">
        <v>686</v>
      </c>
      <c r="E317" s="93"/>
      <c r="F317" s="104" t="s">
        <v>784</v>
      </c>
      <c r="G317" s="78" t="s">
        <v>873</v>
      </c>
    </row>
    <row r="318" spans="1:8" x14ac:dyDescent="0.45">
      <c r="A318" t="s">
        <v>519</v>
      </c>
      <c r="B318" t="s">
        <v>327</v>
      </c>
      <c r="C318" s="18" t="s">
        <v>686</v>
      </c>
      <c r="E318" s="93"/>
      <c r="F318" s="104"/>
      <c r="G318" s="78" t="s">
        <v>873</v>
      </c>
    </row>
    <row r="319" spans="1:8" x14ac:dyDescent="0.45">
      <c r="A319" s="18" t="s">
        <v>328</v>
      </c>
      <c r="B319" s="18" t="s">
        <v>329</v>
      </c>
      <c r="C319" s="18" t="s">
        <v>687</v>
      </c>
      <c r="E319" s="93"/>
      <c r="F319" s="104" t="s">
        <v>785</v>
      </c>
      <c r="G319" s="78" t="s">
        <v>873</v>
      </c>
    </row>
    <row r="320" spans="1:8" x14ac:dyDescent="0.45">
      <c r="A320" t="s">
        <v>520</v>
      </c>
      <c r="B320" t="s">
        <v>329</v>
      </c>
      <c r="C320" s="18" t="s">
        <v>687</v>
      </c>
      <c r="E320" s="93"/>
      <c r="F320" s="104"/>
      <c r="G320" s="78" t="s">
        <v>873</v>
      </c>
    </row>
    <row r="321" spans="1:7" x14ac:dyDescent="0.45">
      <c r="A321" s="18" t="s">
        <v>330</v>
      </c>
      <c r="B321" s="18" t="s">
        <v>551</v>
      </c>
      <c r="C321" s="18" t="s">
        <v>688</v>
      </c>
      <c r="E321" s="93"/>
      <c r="F321" s="133" t="s">
        <v>786</v>
      </c>
      <c r="G321" s="78" t="s">
        <v>611</v>
      </c>
    </row>
    <row r="322" spans="1:7" x14ac:dyDescent="0.45">
      <c r="A322" t="s">
        <v>521</v>
      </c>
      <c r="B322" t="s">
        <v>551</v>
      </c>
      <c r="C322" s="18" t="s">
        <v>688</v>
      </c>
      <c r="E322" s="93"/>
      <c r="F322" s="104"/>
      <c r="G322" s="78" t="s">
        <v>611</v>
      </c>
    </row>
    <row r="325" spans="1:7" ht="24" thickBot="1" x14ac:dyDescent="0.5">
      <c r="A325" s="36" t="s">
        <v>280</v>
      </c>
      <c r="B325" s="36" t="s">
        <v>281</v>
      </c>
      <c r="C325" s="36" t="s">
        <v>692</v>
      </c>
      <c r="E325" s="84" t="s">
        <v>2096</v>
      </c>
      <c r="F325" s="80" t="s">
        <v>789</v>
      </c>
      <c r="G325" s="81" t="s">
        <v>618</v>
      </c>
    </row>
    <row r="326" spans="1:7" ht="24" thickTop="1" x14ac:dyDescent="0.45">
      <c r="A326" s="18" t="s">
        <v>282</v>
      </c>
      <c r="B326" s="18" t="s">
        <v>900</v>
      </c>
      <c r="C326" s="18" t="s">
        <v>903</v>
      </c>
      <c r="D326" s="32" t="s">
        <v>187</v>
      </c>
      <c r="E326" s="101" t="s">
        <v>695</v>
      </c>
      <c r="F326" s="87" t="s">
        <v>968</v>
      </c>
      <c r="G326" s="97" t="s">
        <v>614</v>
      </c>
    </row>
    <row r="327" spans="1:7" x14ac:dyDescent="0.45">
      <c r="A327" s="18" t="s">
        <v>310</v>
      </c>
      <c r="B327" s="18" t="s">
        <v>311</v>
      </c>
      <c r="C327" s="18" t="s">
        <v>681</v>
      </c>
      <c r="D327" s="32" t="s">
        <v>624</v>
      </c>
      <c r="E327" s="102"/>
      <c r="F327" s="92" t="s">
        <v>969</v>
      </c>
      <c r="G327" s="78" t="s">
        <v>618</v>
      </c>
    </row>
    <row r="328" spans="1:7" x14ac:dyDescent="0.45">
      <c r="A328" s="18" t="s">
        <v>312</v>
      </c>
      <c r="B328" s="18" t="s">
        <v>313</v>
      </c>
      <c r="C328" s="18" t="s">
        <v>895</v>
      </c>
      <c r="D328" s="32" t="s">
        <v>2065</v>
      </c>
      <c r="E328" s="94"/>
      <c r="F328" s="30" t="s">
        <v>970</v>
      </c>
      <c r="G328" s="24" t="s">
        <v>611</v>
      </c>
    </row>
    <row r="329" spans="1:7" x14ac:dyDescent="0.45">
      <c r="A329" s="18" t="s">
        <v>331</v>
      </c>
      <c r="B329" s="18" t="s">
        <v>8</v>
      </c>
      <c r="C329" s="18" t="s">
        <v>573</v>
      </c>
      <c r="E329" s="126" t="s">
        <v>620</v>
      </c>
      <c r="F329" s="127"/>
      <c r="G329" s="130" t="s">
        <v>611</v>
      </c>
    </row>
    <row r="330" spans="1:7" x14ac:dyDescent="0.45">
      <c r="A330" s="18" t="s">
        <v>332</v>
      </c>
      <c r="B330" s="18" t="s">
        <v>9</v>
      </c>
      <c r="C330" s="18" t="s">
        <v>601</v>
      </c>
      <c r="E330" s="128"/>
      <c r="F330" s="129"/>
      <c r="G330" s="131"/>
    </row>
    <row r="333" spans="1:7" ht="24" thickBot="1" x14ac:dyDescent="0.5">
      <c r="A333" s="38" t="s">
        <v>487</v>
      </c>
      <c r="B333" s="38" t="s">
        <v>488</v>
      </c>
      <c r="C333" s="37" t="s">
        <v>896</v>
      </c>
      <c r="E333" s="84" t="s">
        <v>2096</v>
      </c>
      <c r="F333" s="80" t="s">
        <v>904</v>
      </c>
      <c r="G333" s="81" t="s">
        <v>618</v>
      </c>
    </row>
    <row r="334" spans="1:7" ht="24" thickTop="1" x14ac:dyDescent="0.45">
      <c r="A334" t="s">
        <v>490</v>
      </c>
      <c r="B334" t="s">
        <v>100</v>
      </c>
      <c r="C334" s="20" t="s">
        <v>975</v>
      </c>
      <c r="D334" s="32" t="s">
        <v>187</v>
      </c>
      <c r="E334" s="101" t="s">
        <v>695</v>
      </c>
      <c r="F334" s="87" t="s">
        <v>971</v>
      </c>
      <c r="G334" s="97" t="s">
        <v>614</v>
      </c>
    </row>
    <row r="335" spans="1:7" x14ac:dyDescent="0.45">
      <c r="A335" t="s">
        <v>508</v>
      </c>
      <c r="B335" t="s">
        <v>509</v>
      </c>
      <c r="C335" s="20" t="s">
        <v>893</v>
      </c>
      <c r="D335" s="32" t="s">
        <v>2156</v>
      </c>
      <c r="E335" s="102"/>
      <c r="F335" s="92" t="s">
        <v>972</v>
      </c>
      <c r="G335" s="78" t="s">
        <v>611</v>
      </c>
    </row>
    <row r="336" spans="1:7" x14ac:dyDescent="0.45">
      <c r="A336" t="s">
        <v>510</v>
      </c>
      <c r="B336" t="s">
        <v>511</v>
      </c>
      <c r="C336" s="20" t="s">
        <v>894</v>
      </c>
      <c r="D336" s="32" t="s">
        <v>1016</v>
      </c>
      <c r="E336" s="94"/>
      <c r="F336" s="30" t="s">
        <v>973</v>
      </c>
      <c r="G336" s="24" t="s">
        <v>611</v>
      </c>
    </row>
    <row r="337" spans="1:7" x14ac:dyDescent="0.45">
      <c r="A337" t="s">
        <v>522</v>
      </c>
      <c r="B337" t="s">
        <v>8</v>
      </c>
      <c r="C337" s="18" t="s">
        <v>573</v>
      </c>
      <c r="E337" s="126" t="s">
        <v>620</v>
      </c>
      <c r="F337" s="127"/>
      <c r="G337" s="130" t="s">
        <v>611</v>
      </c>
    </row>
    <row r="338" spans="1:7" x14ac:dyDescent="0.45">
      <c r="A338" t="s">
        <v>523</v>
      </c>
      <c r="B338" t="s">
        <v>9</v>
      </c>
      <c r="C338" s="18" t="s">
        <v>601</v>
      </c>
      <c r="E338" s="128"/>
      <c r="F338" s="129"/>
      <c r="G338" s="131"/>
    </row>
  </sheetData>
  <mergeCells count="193">
    <mergeCell ref="D212:D213"/>
    <mergeCell ref="D215:D218"/>
    <mergeCell ref="D173:D174"/>
    <mergeCell ref="D175:D176"/>
    <mergeCell ref="D179:D180"/>
    <mergeCell ref="D184:D185"/>
    <mergeCell ref="D190:D191"/>
    <mergeCell ref="D192:D193"/>
    <mergeCell ref="D194:D195"/>
    <mergeCell ref="D196:D197"/>
    <mergeCell ref="D206:D207"/>
    <mergeCell ref="D37:D38"/>
    <mergeCell ref="D39:D40"/>
    <mergeCell ref="D41:D42"/>
    <mergeCell ref="D43:D44"/>
    <mergeCell ref="D45:D46"/>
    <mergeCell ref="D47:D48"/>
    <mergeCell ref="D49:D50"/>
    <mergeCell ref="D51:D52"/>
    <mergeCell ref="D53:D54"/>
    <mergeCell ref="D9:D10"/>
    <mergeCell ref="D13:D14"/>
    <mergeCell ref="D17:D18"/>
    <mergeCell ref="D19:D20"/>
    <mergeCell ref="D21:D22"/>
    <mergeCell ref="D23:D24"/>
    <mergeCell ref="D25:D26"/>
    <mergeCell ref="D27:D28"/>
    <mergeCell ref="D31:D32"/>
    <mergeCell ref="G260:G261"/>
    <mergeCell ref="E268:F268"/>
    <mergeCell ref="G81:G82"/>
    <mergeCell ref="E143:F145"/>
    <mergeCell ref="G143:G145"/>
    <mergeCell ref="E161:F161"/>
    <mergeCell ref="E138:F138"/>
    <mergeCell ref="E147:F147"/>
    <mergeCell ref="E165:F165"/>
    <mergeCell ref="F167:F168"/>
    <mergeCell ref="F169:F170"/>
    <mergeCell ref="E81:F82"/>
    <mergeCell ref="F171:F172"/>
    <mergeCell ref="F173:F174"/>
    <mergeCell ref="F175:F176"/>
    <mergeCell ref="F177:F178"/>
    <mergeCell ref="F179:F180"/>
    <mergeCell ref="F181:F182"/>
    <mergeCell ref="F235:F236"/>
    <mergeCell ref="E129:F129"/>
    <mergeCell ref="E125:E128"/>
    <mergeCell ref="E133:E134"/>
    <mergeCell ref="E198:E199"/>
    <mergeCell ref="G120:G121"/>
    <mergeCell ref="E4:E7"/>
    <mergeCell ref="F4:F5"/>
    <mergeCell ref="F6:F7"/>
    <mergeCell ref="G4:G5"/>
    <mergeCell ref="G6:G7"/>
    <mergeCell ref="G11:G12"/>
    <mergeCell ref="G9:G10"/>
    <mergeCell ref="E34:E35"/>
    <mergeCell ref="F34:F35"/>
    <mergeCell ref="G34:G35"/>
    <mergeCell ref="G21:G22"/>
    <mergeCell ref="G19:G20"/>
    <mergeCell ref="G17:G18"/>
    <mergeCell ref="G15:G16"/>
    <mergeCell ref="G13:G14"/>
    <mergeCell ref="G31:G32"/>
    <mergeCell ref="G29:G30"/>
    <mergeCell ref="G27:G28"/>
    <mergeCell ref="G25:G26"/>
    <mergeCell ref="G23:G24"/>
    <mergeCell ref="F9:F10"/>
    <mergeCell ref="F11:F12"/>
    <mergeCell ref="F13:F14"/>
    <mergeCell ref="F15:F16"/>
    <mergeCell ref="F17:F18"/>
    <mergeCell ref="F19:F20"/>
    <mergeCell ref="F21:F22"/>
    <mergeCell ref="F23:F24"/>
    <mergeCell ref="F25:F26"/>
    <mergeCell ref="F49:F50"/>
    <mergeCell ref="F51:F52"/>
    <mergeCell ref="F53:F54"/>
    <mergeCell ref="E37:E54"/>
    <mergeCell ref="F39:F40"/>
    <mergeCell ref="F41:F42"/>
    <mergeCell ref="F43:F44"/>
    <mergeCell ref="F45:F46"/>
    <mergeCell ref="F47:F48"/>
    <mergeCell ref="F27:F28"/>
    <mergeCell ref="F29:F30"/>
    <mergeCell ref="F31:F32"/>
    <mergeCell ref="F37:F38"/>
    <mergeCell ref="E9:E28"/>
    <mergeCell ref="E31:E32"/>
    <mergeCell ref="E29:E30"/>
    <mergeCell ref="G37:G38"/>
    <mergeCell ref="G39:G40"/>
    <mergeCell ref="G41:G42"/>
    <mergeCell ref="G43:G44"/>
    <mergeCell ref="G45:G46"/>
    <mergeCell ref="G47:G48"/>
    <mergeCell ref="G49:G50"/>
    <mergeCell ref="G51:G52"/>
    <mergeCell ref="G53:G54"/>
    <mergeCell ref="G108:G109"/>
    <mergeCell ref="E329:F330"/>
    <mergeCell ref="G329:G330"/>
    <mergeCell ref="E337:F338"/>
    <mergeCell ref="G337:G338"/>
    <mergeCell ref="G279:G280"/>
    <mergeCell ref="F251:F252"/>
    <mergeCell ref="F253:F254"/>
    <mergeCell ref="E279:F280"/>
    <mergeCell ref="F215:F218"/>
    <mergeCell ref="F219:F222"/>
    <mergeCell ref="F223:F226"/>
    <mergeCell ref="F227:F228"/>
    <mergeCell ref="F229:F230"/>
    <mergeCell ref="F241:F242"/>
    <mergeCell ref="F243:F244"/>
    <mergeCell ref="F245:F246"/>
    <mergeCell ref="F247:F248"/>
    <mergeCell ref="F249:F250"/>
    <mergeCell ref="F231:F232"/>
    <mergeCell ref="F233:F234"/>
    <mergeCell ref="F321:F322"/>
    <mergeCell ref="F285:F286"/>
    <mergeCell ref="F287:F288"/>
    <mergeCell ref="F317:F318"/>
    <mergeCell ref="F319:F320"/>
    <mergeCell ref="F237:F238"/>
    <mergeCell ref="F239:F240"/>
    <mergeCell ref="F204:F205"/>
    <mergeCell ref="F206:F207"/>
    <mergeCell ref="F208:F209"/>
    <mergeCell ref="F210:F211"/>
    <mergeCell ref="F212:F213"/>
    <mergeCell ref="E260:F261"/>
    <mergeCell ref="E219:E222"/>
    <mergeCell ref="E227:E228"/>
    <mergeCell ref="E231:E232"/>
    <mergeCell ref="F289:F290"/>
    <mergeCell ref="F291:F292"/>
    <mergeCell ref="F293:F294"/>
    <mergeCell ref="F295:F296"/>
    <mergeCell ref="F297:F298"/>
    <mergeCell ref="F299:F300"/>
    <mergeCell ref="F301:F302"/>
    <mergeCell ref="F303:F304"/>
    <mergeCell ref="F305:F306"/>
    <mergeCell ref="F313:F314"/>
    <mergeCell ref="F315:F316"/>
    <mergeCell ref="F192:F193"/>
    <mergeCell ref="E194:E195"/>
    <mergeCell ref="E111:F111"/>
    <mergeCell ref="E120:F121"/>
    <mergeCell ref="E186:E189"/>
    <mergeCell ref="E181:E182"/>
    <mergeCell ref="F307:F308"/>
    <mergeCell ref="F186:F189"/>
    <mergeCell ref="E283:F283"/>
    <mergeCell ref="F194:F195"/>
    <mergeCell ref="F196:F197"/>
    <mergeCell ref="F198:F199"/>
    <mergeCell ref="F200:F201"/>
    <mergeCell ref="F202:F203"/>
    <mergeCell ref="F309:F310"/>
    <mergeCell ref="F311:F312"/>
    <mergeCell ref="E56:F56"/>
    <mergeCell ref="E84:F84"/>
    <mergeCell ref="E108:F109"/>
    <mergeCell ref="E71:E72"/>
    <mergeCell ref="E115:E118"/>
    <mergeCell ref="E141:E142"/>
    <mergeCell ref="E151:E155"/>
    <mergeCell ref="E156:E160"/>
    <mergeCell ref="E171:E172"/>
    <mergeCell ref="E73:E74"/>
    <mergeCell ref="E86:E88"/>
    <mergeCell ref="E89:E90"/>
    <mergeCell ref="E91:E93"/>
    <mergeCell ref="E99:E100"/>
    <mergeCell ref="E94:E96"/>
    <mergeCell ref="E78:E79"/>
    <mergeCell ref="E169:E170"/>
    <mergeCell ref="E58:E61"/>
    <mergeCell ref="E67:E68"/>
    <mergeCell ref="E69:E70"/>
    <mergeCell ref="F184:F185"/>
    <mergeCell ref="F190:F191"/>
  </mergeCells>
  <phoneticPr fontId="11" type="noConversion"/>
  <conditionalFormatting sqref="A1:A123 A135:A1048576">
    <cfRule type="containsText" dxfId="13" priority="19" operator="containsText" text="K">
      <formula>NOT(ISERROR(SEARCH("K",A1)))</formula>
    </cfRule>
    <cfRule type="containsText" dxfId="12" priority="20" operator="containsText" text="H">
      <formula>NOT(ISERROR(SEARCH("H",A1)))</formula>
    </cfRule>
  </conditionalFormatting>
  <conditionalFormatting sqref="B135:B1048576 B1:B123">
    <cfRule type="duplicateValues" dxfId="11" priority="10333"/>
  </conditionalFormatting>
  <conditionalFormatting sqref="C135:C1048576 C1:C129">
    <cfRule type="duplicateValues" dxfId="10" priority="10337"/>
  </conditionalFormatting>
  <conditionalFormatting sqref="E125">
    <cfRule type="duplicateValues" dxfId="9" priority="4"/>
  </conditionalFormatting>
  <conditionalFormatting sqref="E133">
    <cfRule type="duplicateValues" dxfId="8" priority="3"/>
  </conditionalFormatting>
  <conditionalFormatting sqref="E141">
    <cfRule type="duplicateValues" dxfId="7" priority="2"/>
  </conditionalFormatting>
  <conditionalFormatting sqref="E156">
    <cfRule type="duplicateValues" dxfId="6" priority="1"/>
  </conditionalFormatting>
  <conditionalFormatting sqref="F1:F31 F33:F66 F190:F266 F115:F128 F133:F186 F68:F113 F67:G67 F268:F1048576 F267:G267">
    <cfRule type="duplicateValues" dxfId="5" priority="11"/>
  </conditionalFormatting>
  <conditionalFormatting sqref="F112">
    <cfRule type="duplicateValues" dxfId="4" priority="10"/>
  </conditionalFormatting>
  <conditionalFormatting sqref="F124">
    <cfRule type="duplicateValues" dxfId="3" priority="9"/>
  </conditionalFormatting>
  <conditionalFormatting sqref="F132">
    <cfRule type="duplicateValues" dxfId="2" priority="6"/>
    <cfRule type="duplicateValues" dxfId="1" priority="7"/>
  </conditionalFormatting>
  <conditionalFormatting sqref="F351:F358 F257:F259 F279:F280 F215 F235 F253 F251 F249 F247 F245 F243 F241 F239 F237 F233 F231 F229 F227 F212 F186 F184 F181 F202 F210 F208 F206 F204 F200 F198 F196 F194 F192 F190 F179 F177 F175 F173 F171 F169 F34 F37 F9 F6 F11 F13 F15 F17 F19 F21 F23 F25 F27 F29 F31 F39 F41 F43 F45 F47 F49 F51 F53 F1:F4 F56:F58 F61:F66 F165:F167 F372:F1048576 F325:F328 F219 F223 F331:F336 F287 F289 F291 F293 F295 F297 F299 F301 F303 F305 F307 F309 F311 F313 F315 F317 F319 F321 F282:F285 F262:F266 F138:F161 F68:F109 F67:G67 F268 F267:G267">
    <cfRule type="duplicateValues" dxfId="0" priority="10363"/>
  </conditionalFormatting>
  <pageMargins left="0.7" right="0.7" top="0.75" bottom="0.75" header="0.3" footer="0.3"/>
  <pageSetup scale="21"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67A3-EAEB-4376-8EA0-73359993D38B}">
  <dimension ref="A1:D372"/>
  <sheetViews>
    <sheetView topLeftCell="A355" zoomScale="115" zoomScaleNormal="115" workbookViewId="0">
      <selection activeCell="A370" sqref="A370"/>
    </sheetView>
  </sheetViews>
  <sheetFormatPr defaultRowHeight="14.4" x14ac:dyDescent="0.3"/>
  <cols>
    <col min="1" max="1" width="8.5546875" bestFit="1" customWidth="1"/>
    <col min="2" max="2" width="38.88671875" customWidth="1"/>
    <col min="3" max="3" width="39.44140625" customWidth="1"/>
    <col min="4" max="4" width="48" customWidth="1"/>
  </cols>
  <sheetData>
    <row r="1" spans="1:4" ht="14.25" customHeight="1" x14ac:dyDescent="0.3">
      <c r="A1" s="16" t="s">
        <v>575</v>
      </c>
      <c r="B1" s="16" t="s">
        <v>607</v>
      </c>
      <c r="C1" s="21" t="s">
        <v>608</v>
      </c>
      <c r="D1" s="31" t="s">
        <v>2047</v>
      </c>
    </row>
    <row r="2" spans="1:4" ht="14.25" customHeight="1" x14ac:dyDescent="0.3"/>
    <row r="3" spans="1:4" ht="20.399999999999999" thickBot="1" x14ac:dyDescent="0.45">
      <c r="A3" s="1" t="s">
        <v>1199</v>
      </c>
    </row>
    <row r="4" spans="1:4" ht="15.75" customHeight="1" thickTop="1" x14ac:dyDescent="0.3">
      <c r="A4" t="s">
        <v>1200</v>
      </c>
      <c r="B4" t="s">
        <v>1201</v>
      </c>
      <c r="C4" t="s">
        <v>1202</v>
      </c>
      <c r="D4" t="s">
        <v>1203</v>
      </c>
    </row>
    <row r="5" spans="1:4" x14ac:dyDescent="0.3">
      <c r="A5" t="s">
        <v>1204</v>
      </c>
      <c r="B5" t="s">
        <v>1205</v>
      </c>
      <c r="C5" t="s">
        <v>1206</v>
      </c>
      <c r="D5" t="s">
        <v>1207</v>
      </c>
    </row>
    <row r="6" spans="1:4" ht="15.75" customHeight="1" x14ac:dyDescent="0.3">
      <c r="A6" t="s">
        <v>1208</v>
      </c>
      <c r="B6" t="s">
        <v>1209</v>
      </c>
      <c r="C6" t="s">
        <v>1210</v>
      </c>
      <c r="D6" t="s">
        <v>1211</v>
      </c>
    </row>
    <row r="7" spans="1:4" ht="20.399999999999999" thickBot="1" x14ac:dyDescent="0.45">
      <c r="A7" s="1" t="s">
        <v>1212</v>
      </c>
    </row>
    <row r="8" spans="1:4" ht="15" thickTop="1" x14ac:dyDescent="0.3">
      <c r="A8" t="s">
        <v>1035</v>
      </c>
      <c r="B8" t="s">
        <v>1213</v>
      </c>
      <c r="C8" t="s">
        <v>1214</v>
      </c>
      <c r="D8" t="s">
        <v>1215</v>
      </c>
    </row>
    <row r="9" spans="1:4" x14ac:dyDescent="0.3">
      <c r="A9" t="s">
        <v>1204</v>
      </c>
      <c r="B9" t="s">
        <v>1205</v>
      </c>
      <c r="C9" t="s">
        <v>1206</v>
      </c>
      <c r="D9" t="s">
        <v>1216</v>
      </c>
    </row>
    <row r="10" spans="1:4" x14ac:dyDescent="0.3">
      <c r="A10" t="s">
        <v>1208</v>
      </c>
      <c r="B10" t="s">
        <v>1209</v>
      </c>
      <c r="C10" t="s">
        <v>1210</v>
      </c>
      <c r="D10" t="s">
        <v>1217</v>
      </c>
    </row>
    <row r="11" spans="1:4" ht="20.399999999999999" thickBot="1" x14ac:dyDescent="0.45">
      <c r="A11" s="1" t="s">
        <v>1218</v>
      </c>
    </row>
    <row r="12" spans="1:4" ht="30" customHeight="1" thickTop="1" x14ac:dyDescent="0.3">
      <c r="A12" t="s">
        <v>1219</v>
      </c>
      <c r="B12" t="s">
        <v>1220</v>
      </c>
      <c r="C12" t="s">
        <v>1221</v>
      </c>
      <c r="D12" t="s">
        <v>1222</v>
      </c>
    </row>
    <row r="13" spans="1:4" x14ac:dyDescent="0.3">
      <c r="A13" t="s">
        <v>1200</v>
      </c>
      <c r="B13" t="s">
        <v>1223</v>
      </c>
      <c r="C13" t="s">
        <v>1224</v>
      </c>
      <c r="D13" t="s">
        <v>1225</v>
      </c>
    </row>
    <row r="14" spans="1:4" x14ac:dyDescent="0.3">
      <c r="A14" t="s">
        <v>1204</v>
      </c>
      <c r="B14" t="s">
        <v>1226</v>
      </c>
      <c r="C14" t="s">
        <v>1227</v>
      </c>
      <c r="D14" t="s">
        <v>1228</v>
      </c>
    </row>
    <row r="15" spans="1:4" x14ac:dyDescent="0.3">
      <c r="A15" t="s">
        <v>1229</v>
      </c>
      <c r="B15" t="s">
        <v>1230</v>
      </c>
      <c r="C15" t="s">
        <v>1231</v>
      </c>
      <c r="D15" t="s">
        <v>1232</v>
      </c>
    </row>
    <row r="16" spans="1:4" ht="20.399999999999999" thickBot="1" x14ac:dyDescent="0.45">
      <c r="A16" s="1" t="s">
        <v>1233</v>
      </c>
    </row>
    <row r="17" spans="1:4" ht="15" thickTop="1" x14ac:dyDescent="0.3">
      <c r="A17" t="s">
        <v>1035</v>
      </c>
      <c r="B17" t="s">
        <v>1234</v>
      </c>
      <c r="C17" t="s">
        <v>1235</v>
      </c>
      <c r="D17" t="s">
        <v>1236</v>
      </c>
    </row>
    <row r="18" spans="1:4" x14ac:dyDescent="0.3">
      <c r="A18" t="s">
        <v>41</v>
      </c>
      <c r="B18" t="s">
        <v>1237</v>
      </c>
      <c r="C18" t="s">
        <v>1238</v>
      </c>
      <c r="D18" t="s">
        <v>1239</v>
      </c>
    </row>
    <row r="19" spans="1:4" x14ac:dyDescent="0.3">
      <c r="A19" t="s">
        <v>1240</v>
      </c>
      <c r="B19" t="s">
        <v>1241</v>
      </c>
      <c r="C19" t="s">
        <v>1242</v>
      </c>
      <c r="D19" t="s">
        <v>1242</v>
      </c>
    </row>
    <row r="20" spans="1:4" x14ac:dyDescent="0.3">
      <c r="A20" t="s">
        <v>1243</v>
      </c>
      <c r="B20" t="s">
        <v>1244</v>
      </c>
      <c r="C20" t="s">
        <v>1245</v>
      </c>
      <c r="D20" t="s">
        <v>1245</v>
      </c>
    </row>
    <row r="21" spans="1:4" x14ac:dyDescent="0.3">
      <c r="A21" t="s">
        <v>1188</v>
      </c>
      <c r="B21" t="s">
        <v>1246</v>
      </c>
      <c r="C21" t="s">
        <v>1247</v>
      </c>
      <c r="D21" t="s">
        <v>1248</v>
      </c>
    </row>
    <row r="22" spans="1:4" ht="20.399999999999999" thickBot="1" x14ac:dyDescent="0.45">
      <c r="A22" s="1" t="s">
        <v>2048</v>
      </c>
    </row>
    <row r="23" spans="1:4" ht="15.75" customHeight="1" thickTop="1" x14ac:dyDescent="0.3">
      <c r="A23" t="s">
        <v>569</v>
      </c>
      <c r="B23" t="s">
        <v>1032</v>
      </c>
      <c r="C23" t="s">
        <v>1033</v>
      </c>
      <c r="D23" t="s">
        <v>1034</v>
      </c>
    </row>
    <row r="24" spans="1:4" x14ac:dyDescent="0.3">
      <c r="A24" t="s">
        <v>1035</v>
      </c>
      <c r="B24" t="s">
        <v>1036</v>
      </c>
      <c r="C24" t="s">
        <v>1037</v>
      </c>
      <c r="D24" t="s">
        <v>1037</v>
      </c>
    </row>
    <row r="25" spans="1:4" ht="15.75" customHeight="1" x14ac:dyDescent="0.3">
      <c r="A25" t="s">
        <v>1038</v>
      </c>
      <c r="B25" t="s">
        <v>1039</v>
      </c>
      <c r="C25" t="s">
        <v>1039</v>
      </c>
      <c r="D25" t="s">
        <v>1039</v>
      </c>
    </row>
    <row r="26" spans="1:4" x14ac:dyDescent="0.3">
      <c r="A26" t="s">
        <v>1040</v>
      </c>
      <c r="B26" t="s">
        <v>1041</v>
      </c>
      <c r="C26" t="s">
        <v>1042</v>
      </c>
      <c r="D26" t="s">
        <v>1043</v>
      </c>
    </row>
    <row r="27" spans="1:4" x14ac:dyDescent="0.3">
      <c r="A27" t="s">
        <v>1044</v>
      </c>
      <c r="B27" t="s">
        <v>1045</v>
      </c>
      <c r="C27" t="s">
        <v>1046</v>
      </c>
      <c r="D27" t="s">
        <v>1047</v>
      </c>
    </row>
    <row r="28" spans="1:4" ht="15.75" customHeight="1" x14ac:dyDescent="0.3">
      <c r="A28" t="s">
        <v>1048</v>
      </c>
      <c r="B28" t="s">
        <v>1039</v>
      </c>
      <c r="C28" t="s">
        <v>1039</v>
      </c>
      <c r="D28" t="s">
        <v>1039</v>
      </c>
    </row>
    <row r="29" spans="1:4" x14ac:dyDescent="0.3">
      <c r="A29" t="s">
        <v>1049</v>
      </c>
      <c r="B29" t="s">
        <v>1050</v>
      </c>
      <c r="C29" t="s">
        <v>1051</v>
      </c>
      <c r="D29" t="s">
        <v>1052</v>
      </c>
    </row>
    <row r="30" spans="1:4" ht="15.75" customHeight="1" x14ac:dyDescent="0.3">
      <c r="A30" t="s">
        <v>1053</v>
      </c>
      <c r="B30" t="s">
        <v>1054</v>
      </c>
      <c r="C30" t="s">
        <v>1055</v>
      </c>
      <c r="D30" t="s">
        <v>1056</v>
      </c>
    </row>
    <row r="31" spans="1:4" x14ac:dyDescent="0.3">
      <c r="A31" t="s">
        <v>1057</v>
      </c>
      <c r="B31" t="s">
        <v>1058</v>
      </c>
      <c r="C31" t="s">
        <v>1059</v>
      </c>
      <c r="D31" t="s">
        <v>1060</v>
      </c>
    </row>
    <row r="32" spans="1:4" ht="15.75" customHeight="1" x14ac:dyDescent="0.3">
      <c r="A32" t="s">
        <v>1061</v>
      </c>
      <c r="B32" t="s">
        <v>1062</v>
      </c>
      <c r="C32" t="s">
        <v>1063</v>
      </c>
      <c r="D32" t="s">
        <v>1064</v>
      </c>
    </row>
    <row r="33" spans="1:4" x14ac:dyDescent="0.3">
      <c r="A33" t="s">
        <v>1065</v>
      </c>
      <c r="B33" t="s">
        <v>1066</v>
      </c>
      <c r="C33" t="s">
        <v>1067</v>
      </c>
      <c r="D33" t="s">
        <v>1068</v>
      </c>
    </row>
    <row r="34" spans="1:4" ht="15.75" customHeight="1" x14ac:dyDescent="0.3">
      <c r="A34" t="s">
        <v>1069</v>
      </c>
      <c r="B34" t="s">
        <v>1070</v>
      </c>
      <c r="C34" t="s">
        <v>1071</v>
      </c>
      <c r="D34" t="s">
        <v>1072</v>
      </c>
    </row>
    <row r="35" spans="1:4" x14ac:dyDescent="0.3">
      <c r="A35" t="s">
        <v>572</v>
      </c>
      <c r="B35" t="s">
        <v>1073</v>
      </c>
      <c r="C35" t="s">
        <v>1074</v>
      </c>
      <c r="D35" t="s">
        <v>1075</v>
      </c>
    </row>
    <row r="36" spans="1:4" ht="15.75" customHeight="1" x14ac:dyDescent="0.3">
      <c r="A36" t="s">
        <v>570</v>
      </c>
      <c r="B36" t="s">
        <v>1076</v>
      </c>
      <c r="C36" t="s">
        <v>1077</v>
      </c>
      <c r="D36" t="s">
        <v>1078</v>
      </c>
    </row>
    <row r="37" spans="1:4" x14ac:dyDescent="0.3">
      <c r="A37" t="s">
        <v>1079</v>
      </c>
      <c r="B37" t="s">
        <v>1080</v>
      </c>
      <c r="C37" t="s">
        <v>1081</v>
      </c>
      <c r="D37" t="s">
        <v>1082</v>
      </c>
    </row>
    <row r="38" spans="1:4" ht="15.75" customHeight="1" x14ac:dyDescent="0.3">
      <c r="A38" t="s">
        <v>1083</v>
      </c>
      <c r="B38" t="s">
        <v>1084</v>
      </c>
      <c r="C38" t="s">
        <v>1085</v>
      </c>
      <c r="D38" t="s">
        <v>1085</v>
      </c>
    </row>
    <row r="39" spans="1:4" x14ac:dyDescent="0.3">
      <c r="A39" t="s">
        <v>1086</v>
      </c>
      <c r="B39" t="s">
        <v>1087</v>
      </c>
      <c r="C39" t="s">
        <v>1088</v>
      </c>
      <c r="D39" t="s">
        <v>1089</v>
      </c>
    </row>
    <row r="40" spans="1:4" ht="15.75" customHeight="1" x14ac:dyDescent="0.3">
      <c r="A40" t="s">
        <v>1090</v>
      </c>
      <c r="B40" t="s">
        <v>1091</v>
      </c>
      <c r="C40" t="s">
        <v>1092</v>
      </c>
      <c r="D40" t="s">
        <v>1093</v>
      </c>
    </row>
    <row r="41" spans="1:4" x14ac:dyDescent="0.3">
      <c r="A41" t="s">
        <v>1094</v>
      </c>
      <c r="B41" t="s">
        <v>1095</v>
      </c>
      <c r="C41" t="s">
        <v>1096</v>
      </c>
      <c r="D41" t="s">
        <v>1097</v>
      </c>
    </row>
    <row r="42" spans="1:4" ht="15.75" customHeight="1" x14ac:dyDescent="0.3">
      <c r="A42" t="s">
        <v>1098</v>
      </c>
      <c r="B42" t="s">
        <v>1099</v>
      </c>
      <c r="C42" t="s">
        <v>1100</v>
      </c>
      <c r="D42" t="s">
        <v>1100</v>
      </c>
    </row>
    <row r="43" spans="1:4" x14ac:dyDescent="0.3">
      <c r="A43" t="s">
        <v>1101</v>
      </c>
      <c r="B43" t="s">
        <v>1102</v>
      </c>
      <c r="C43" t="s">
        <v>1103</v>
      </c>
      <c r="D43" t="s">
        <v>1104</v>
      </c>
    </row>
    <row r="44" spans="1:4" ht="15.75" customHeight="1" x14ac:dyDescent="0.3">
      <c r="A44" t="s">
        <v>1105</v>
      </c>
      <c r="B44" t="s">
        <v>1106</v>
      </c>
      <c r="C44" t="s">
        <v>1107</v>
      </c>
      <c r="D44" t="s">
        <v>1108</v>
      </c>
    </row>
    <row r="45" spans="1:4" x14ac:dyDescent="0.3">
      <c r="A45" t="s">
        <v>1109</v>
      </c>
      <c r="B45" t="s">
        <v>1110</v>
      </c>
      <c r="C45" t="s">
        <v>1111</v>
      </c>
      <c r="D45" t="s">
        <v>1111</v>
      </c>
    </row>
    <row r="46" spans="1:4" ht="15.75" customHeight="1" x14ac:dyDescent="0.3">
      <c r="A46" t="s">
        <v>1112</v>
      </c>
      <c r="B46" t="s">
        <v>1113</v>
      </c>
      <c r="C46" t="s">
        <v>1114</v>
      </c>
      <c r="D46" t="s">
        <v>1115</v>
      </c>
    </row>
    <row r="47" spans="1:4" x14ac:dyDescent="0.3">
      <c r="A47" t="s">
        <v>1116</v>
      </c>
      <c r="B47" t="s">
        <v>1117</v>
      </c>
      <c r="C47" t="s">
        <v>1118</v>
      </c>
      <c r="D47" t="s">
        <v>1119</v>
      </c>
    </row>
    <row r="48" spans="1:4" ht="15.75" customHeight="1" x14ac:dyDescent="0.3">
      <c r="A48" t="s">
        <v>1120</v>
      </c>
      <c r="B48" t="s">
        <v>1121</v>
      </c>
      <c r="C48" t="s">
        <v>1122</v>
      </c>
      <c r="D48" t="s">
        <v>1123</v>
      </c>
    </row>
    <row r="49" spans="1:4" x14ac:dyDescent="0.3">
      <c r="A49" t="s">
        <v>1124</v>
      </c>
      <c r="B49" t="s">
        <v>1125</v>
      </c>
      <c r="C49" t="s">
        <v>1126</v>
      </c>
      <c r="D49" t="s">
        <v>1127</v>
      </c>
    </row>
    <row r="50" spans="1:4" ht="15.75" customHeight="1" x14ac:dyDescent="0.3">
      <c r="A50" t="s">
        <v>1128</v>
      </c>
      <c r="B50" t="s">
        <v>1129</v>
      </c>
      <c r="C50" t="s">
        <v>1130</v>
      </c>
      <c r="D50" t="s">
        <v>1131</v>
      </c>
    </row>
    <row r="51" spans="1:4" x14ac:dyDescent="0.3">
      <c r="A51" t="s">
        <v>1132</v>
      </c>
      <c r="B51" t="s">
        <v>1133</v>
      </c>
      <c r="C51" t="s">
        <v>1134</v>
      </c>
      <c r="D51" t="s">
        <v>1135</v>
      </c>
    </row>
    <row r="52" spans="1:4" x14ac:dyDescent="0.3">
      <c r="A52" t="s">
        <v>571</v>
      </c>
      <c r="B52" t="s">
        <v>1136</v>
      </c>
      <c r="C52" t="s">
        <v>1137</v>
      </c>
      <c r="D52" t="s">
        <v>1137</v>
      </c>
    </row>
    <row r="53" spans="1:4" ht="15.75" customHeight="1" x14ac:dyDescent="0.3">
      <c r="A53" t="s">
        <v>1138</v>
      </c>
      <c r="B53" t="s">
        <v>1139</v>
      </c>
      <c r="C53" t="s">
        <v>1140</v>
      </c>
      <c r="D53" t="s">
        <v>1140</v>
      </c>
    </row>
    <row r="54" spans="1:4" x14ac:dyDescent="0.3">
      <c r="A54" t="s">
        <v>1141</v>
      </c>
      <c r="B54" t="s">
        <v>1142</v>
      </c>
      <c r="C54" t="s">
        <v>1143</v>
      </c>
      <c r="D54" t="s">
        <v>1143</v>
      </c>
    </row>
    <row r="55" spans="1:4" x14ac:dyDescent="0.3">
      <c r="A55" t="s">
        <v>1144</v>
      </c>
      <c r="B55" t="s">
        <v>1145</v>
      </c>
      <c r="C55" t="s">
        <v>1146</v>
      </c>
      <c r="D55" t="s">
        <v>1147</v>
      </c>
    </row>
    <row r="56" spans="1:4" ht="15.75" customHeight="1" x14ac:dyDescent="0.3">
      <c r="A56" t="s">
        <v>1148</v>
      </c>
      <c r="B56" t="s">
        <v>1149</v>
      </c>
      <c r="C56" t="s">
        <v>1150</v>
      </c>
      <c r="D56" t="s">
        <v>1151</v>
      </c>
    </row>
    <row r="57" spans="1:4" x14ac:dyDescent="0.3">
      <c r="A57" t="s">
        <v>1152</v>
      </c>
      <c r="B57" t="s">
        <v>1153</v>
      </c>
      <c r="C57" t="s">
        <v>1154</v>
      </c>
      <c r="D57" t="s">
        <v>1155</v>
      </c>
    </row>
    <row r="58" spans="1:4" ht="15.75" customHeight="1" x14ac:dyDescent="0.3">
      <c r="A58" t="s">
        <v>1156</v>
      </c>
      <c r="B58" t="s">
        <v>1157</v>
      </c>
      <c r="C58" t="s">
        <v>1158</v>
      </c>
      <c r="D58" t="s">
        <v>1159</v>
      </c>
    </row>
    <row r="59" spans="1:4" x14ac:dyDescent="0.3">
      <c r="A59" t="s">
        <v>1160</v>
      </c>
      <c r="B59" t="s">
        <v>1161</v>
      </c>
      <c r="C59" t="s">
        <v>1162</v>
      </c>
      <c r="D59" t="s">
        <v>1163</v>
      </c>
    </row>
    <row r="60" spans="1:4" ht="15.75" customHeight="1" x14ac:dyDescent="0.3">
      <c r="A60" t="s">
        <v>1164</v>
      </c>
      <c r="B60" t="s">
        <v>1165</v>
      </c>
      <c r="C60" t="s">
        <v>1166</v>
      </c>
      <c r="D60" t="s">
        <v>1167</v>
      </c>
    </row>
    <row r="61" spans="1:4" x14ac:dyDescent="0.3">
      <c r="A61" t="s">
        <v>1168</v>
      </c>
      <c r="B61" t="s">
        <v>1169</v>
      </c>
      <c r="C61" t="s">
        <v>1170</v>
      </c>
      <c r="D61" t="s">
        <v>1171</v>
      </c>
    </row>
    <row r="62" spans="1:4" ht="15.75" customHeight="1" x14ac:dyDescent="0.3">
      <c r="A62" t="s">
        <v>1172</v>
      </c>
      <c r="B62" t="s">
        <v>1173</v>
      </c>
      <c r="C62" t="s">
        <v>1174</v>
      </c>
      <c r="D62" t="s">
        <v>1175</v>
      </c>
    </row>
    <row r="63" spans="1:4" x14ac:dyDescent="0.3">
      <c r="A63" t="s">
        <v>1176</v>
      </c>
      <c r="B63" t="s">
        <v>1177</v>
      </c>
      <c r="C63" t="s">
        <v>1178</v>
      </c>
      <c r="D63" t="s">
        <v>1179</v>
      </c>
    </row>
    <row r="64" spans="1:4" ht="15.75" customHeight="1" x14ac:dyDescent="0.3">
      <c r="A64" t="s">
        <v>1180</v>
      </c>
      <c r="B64" t="s">
        <v>1181</v>
      </c>
      <c r="C64" t="s">
        <v>1182</v>
      </c>
      <c r="D64" t="s">
        <v>1183</v>
      </c>
    </row>
    <row r="65" spans="1:4" x14ac:dyDescent="0.3">
      <c r="A65" t="s">
        <v>1184</v>
      </c>
      <c r="B65" t="s">
        <v>1185</v>
      </c>
      <c r="C65" t="s">
        <v>1186</v>
      </c>
      <c r="D65" t="s">
        <v>1187</v>
      </c>
    </row>
    <row r="66" spans="1:4" ht="15.75" customHeight="1" x14ac:dyDescent="0.3">
      <c r="A66" t="s">
        <v>1188</v>
      </c>
      <c r="B66" t="s">
        <v>1189</v>
      </c>
      <c r="C66" t="s">
        <v>1190</v>
      </c>
      <c r="D66" t="s">
        <v>1191</v>
      </c>
    </row>
    <row r="67" spans="1:4" x14ac:dyDescent="0.3">
      <c r="A67" t="s">
        <v>1192</v>
      </c>
      <c r="B67" t="s">
        <v>1193</v>
      </c>
      <c r="C67" t="s">
        <v>1194</v>
      </c>
      <c r="D67" t="s">
        <v>1195</v>
      </c>
    </row>
    <row r="68" spans="1:4" ht="15.75" customHeight="1" x14ac:dyDescent="0.3">
      <c r="A68" t="s">
        <v>1196</v>
      </c>
      <c r="B68" t="s">
        <v>1197</v>
      </c>
      <c r="C68" t="s">
        <v>1198</v>
      </c>
      <c r="D68" t="s">
        <v>1198</v>
      </c>
    </row>
    <row r="69" spans="1:4" ht="20.399999999999999" thickBot="1" x14ac:dyDescent="0.45">
      <c r="A69" s="1" t="s">
        <v>1249</v>
      </c>
    </row>
    <row r="70" spans="1:4" ht="15" thickTop="1" x14ac:dyDescent="0.3">
      <c r="A70" t="s">
        <v>1250</v>
      </c>
      <c r="B70" t="s">
        <v>1251</v>
      </c>
      <c r="C70" t="s">
        <v>1252</v>
      </c>
      <c r="D70" t="s">
        <v>1253</v>
      </c>
    </row>
    <row r="71" spans="1:4" x14ac:dyDescent="0.3">
      <c r="A71" t="s">
        <v>1254</v>
      </c>
      <c r="B71" t="s">
        <v>1255</v>
      </c>
      <c r="C71" t="s">
        <v>1256</v>
      </c>
      <c r="D71" t="s">
        <v>1257</v>
      </c>
    </row>
    <row r="72" spans="1:4" x14ac:dyDescent="0.3">
      <c r="A72" t="s">
        <v>1258</v>
      </c>
      <c r="B72" t="s">
        <v>1259</v>
      </c>
      <c r="C72" t="s">
        <v>1260</v>
      </c>
      <c r="D72" t="s">
        <v>1261</v>
      </c>
    </row>
    <row r="73" spans="1:4" x14ac:dyDescent="0.3">
      <c r="A73" t="s">
        <v>1262</v>
      </c>
      <c r="B73" t="s">
        <v>1263</v>
      </c>
      <c r="C73" t="s">
        <v>1264</v>
      </c>
      <c r="D73" t="s">
        <v>1265</v>
      </c>
    </row>
    <row r="74" spans="1:4" x14ac:dyDescent="0.3">
      <c r="A74" t="s">
        <v>1083</v>
      </c>
      <c r="B74" t="s">
        <v>1266</v>
      </c>
      <c r="C74" t="s">
        <v>1267</v>
      </c>
      <c r="D74" t="s">
        <v>1268</v>
      </c>
    </row>
    <row r="75" spans="1:4" x14ac:dyDescent="0.3">
      <c r="A75" t="s">
        <v>1269</v>
      </c>
      <c r="B75" t="s">
        <v>1270</v>
      </c>
      <c r="C75" t="s">
        <v>1271</v>
      </c>
      <c r="D75" t="s">
        <v>1272</v>
      </c>
    </row>
    <row r="76" spans="1:4" x14ac:dyDescent="0.3">
      <c r="A76" t="s">
        <v>1273</v>
      </c>
      <c r="B76" t="s">
        <v>1274</v>
      </c>
      <c r="C76" t="s">
        <v>1275</v>
      </c>
      <c r="D76" t="s">
        <v>1276</v>
      </c>
    </row>
    <row r="77" spans="1:4" x14ac:dyDescent="0.3">
      <c r="A77" t="s">
        <v>1277</v>
      </c>
      <c r="B77" t="s">
        <v>1278</v>
      </c>
      <c r="C77" t="s">
        <v>1279</v>
      </c>
      <c r="D77" t="s">
        <v>1280</v>
      </c>
    </row>
    <row r="78" spans="1:4" x14ac:dyDescent="0.3">
      <c r="A78" t="s">
        <v>1281</v>
      </c>
      <c r="B78" t="s">
        <v>1282</v>
      </c>
      <c r="C78" t="s">
        <v>1283</v>
      </c>
      <c r="D78" t="s">
        <v>1284</v>
      </c>
    </row>
    <row r="79" spans="1:4" x14ac:dyDescent="0.3">
      <c r="A79" t="s">
        <v>1188</v>
      </c>
      <c r="B79" t="s">
        <v>1285</v>
      </c>
      <c r="C79" t="s">
        <v>1286</v>
      </c>
      <c r="D79" t="s">
        <v>1287</v>
      </c>
    </row>
    <row r="80" spans="1:4" ht="20.399999999999999" thickBot="1" x14ac:dyDescent="0.45">
      <c r="A80" s="1" t="s">
        <v>1288</v>
      </c>
    </row>
    <row r="81" spans="1:4" ht="15" thickTop="1" x14ac:dyDescent="0.3">
      <c r="A81" t="s">
        <v>1289</v>
      </c>
      <c r="B81" t="s">
        <v>1290</v>
      </c>
      <c r="C81" t="s">
        <v>1291</v>
      </c>
      <c r="D81" t="s">
        <v>1292</v>
      </c>
    </row>
    <row r="82" spans="1:4" x14ac:dyDescent="0.3">
      <c r="A82" t="s">
        <v>1035</v>
      </c>
      <c r="B82" t="s">
        <v>1293</v>
      </c>
      <c r="C82" t="s">
        <v>1294</v>
      </c>
      <c r="D82" t="s">
        <v>1295</v>
      </c>
    </row>
    <row r="83" spans="1:4" x14ac:dyDescent="0.3">
      <c r="A83" t="s">
        <v>1296</v>
      </c>
      <c r="B83" t="s">
        <v>1297</v>
      </c>
      <c r="C83" t="s">
        <v>1298</v>
      </c>
      <c r="D83" t="s">
        <v>1299</v>
      </c>
    </row>
    <row r="84" spans="1:4" x14ac:dyDescent="0.3">
      <c r="A84" t="s">
        <v>1200</v>
      </c>
      <c r="B84" t="s">
        <v>1300</v>
      </c>
      <c r="C84" t="s">
        <v>1300</v>
      </c>
      <c r="D84" t="s">
        <v>1301</v>
      </c>
    </row>
    <row r="85" spans="1:4" x14ac:dyDescent="0.3">
      <c r="A85" t="s">
        <v>1302</v>
      </c>
      <c r="B85" t="s">
        <v>1303</v>
      </c>
      <c r="C85" t="s">
        <v>1304</v>
      </c>
      <c r="D85" t="s">
        <v>1305</v>
      </c>
    </row>
    <row r="86" spans="1:4" x14ac:dyDescent="0.3">
      <c r="A86" t="s">
        <v>1219</v>
      </c>
      <c r="B86" t="s">
        <v>1306</v>
      </c>
      <c r="C86" t="s">
        <v>1307</v>
      </c>
      <c r="D86" t="s">
        <v>1308</v>
      </c>
    </row>
    <row r="87" spans="1:4" x14ac:dyDescent="0.3">
      <c r="A87" t="s">
        <v>1204</v>
      </c>
      <c r="B87" t="s">
        <v>1309</v>
      </c>
      <c r="C87" t="s">
        <v>1310</v>
      </c>
      <c r="D87" t="s">
        <v>1311</v>
      </c>
    </row>
    <row r="88" spans="1:4" x14ac:dyDescent="0.3">
      <c r="A88" t="s">
        <v>1188</v>
      </c>
      <c r="B88" t="s">
        <v>1312</v>
      </c>
      <c r="C88" t="s">
        <v>1313</v>
      </c>
      <c r="D88" t="s">
        <v>1314</v>
      </c>
    </row>
    <row r="89" spans="1:4" ht="20.399999999999999" thickBot="1" x14ac:dyDescent="0.45">
      <c r="A89" s="1" t="s">
        <v>2078</v>
      </c>
    </row>
    <row r="90" spans="1:4" ht="15" thickTop="1" x14ac:dyDescent="0.3">
      <c r="A90" t="s">
        <v>1289</v>
      </c>
      <c r="B90" t="s">
        <v>1315</v>
      </c>
      <c r="C90" t="s">
        <v>1316</v>
      </c>
      <c r="D90" t="s">
        <v>2079</v>
      </c>
    </row>
    <row r="91" spans="1:4" x14ac:dyDescent="0.3">
      <c r="A91" t="s">
        <v>1035</v>
      </c>
      <c r="B91" t="s">
        <v>1317</v>
      </c>
      <c r="C91" t="s">
        <v>1318</v>
      </c>
      <c r="D91" t="s">
        <v>1319</v>
      </c>
    </row>
    <row r="92" spans="1:4" x14ac:dyDescent="0.3">
      <c r="A92" t="s">
        <v>1296</v>
      </c>
      <c r="B92" t="s">
        <v>1320</v>
      </c>
      <c r="C92" t="s">
        <v>1321</v>
      </c>
      <c r="D92" t="s">
        <v>1322</v>
      </c>
    </row>
    <row r="93" spans="1:4" x14ac:dyDescent="0.3">
      <c r="A93" t="s">
        <v>1188</v>
      </c>
      <c r="B93" t="s">
        <v>1323</v>
      </c>
      <c r="C93" t="s">
        <v>1324</v>
      </c>
      <c r="D93" t="s">
        <v>1325</v>
      </c>
    </row>
    <row r="94" spans="1:4" ht="20.399999999999999" thickBot="1" x14ac:dyDescent="0.45">
      <c r="A94" s="1" t="s">
        <v>1326</v>
      </c>
    </row>
    <row r="95" spans="1:4" ht="15" thickTop="1" x14ac:dyDescent="0.3">
      <c r="A95" t="s">
        <v>1035</v>
      </c>
      <c r="B95" t="s">
        <v>1327</v>
      </c>
      <c r="C95" t="s">
        <v>1328</v>
      </c>
      <c r="D95" t="s">
        <v>1329</v>
      </c>
    </row>
    <row r="96" spans="1:4" x14ac:dyDescent="0.3">
      <c r="A96" t="s">
        <v>1330</v>
      </c>
      <c r="B96" t="s">
        <v>1331</v>
      </c>
      <c r="C96" t="s">
        <v>1332</v>
      </c>
      <c r="D96" t="s">
        <v>1333</v>
      </c>
    </row>
    <row r="97" spans="1:4" x14ac:dyDescent="0.3">
      <c r="A97" t="s">
        <v>1334</v>
      </c>
      <c r="B97" t="s">
        <v>1335</v>
      </c>
      <c r="C97" t="s">
        <v>1336</v>
      </c>
      <c r="D97" t="s">
        <v>1336</v>
      </c>
    </row>
    <row r="98" spans="1:4" x14ac:dyDescent="0.3">
      <c r="A98" t="s">
        <v>1208</v>
      </c>
      <c r="B98" t="s">
        <v>1337</v>
      </c>
      <c r="C98" t="s">
        <v>1338</v>
      </c>
      <c r="D98" t="s">
        <v>1338</v>
      </c>
    </row>
    <row r="99" spans="1:4" x14ac:dyDescent="0.3">
      <c r="A99" t="s">
        <v>1188</v>
      </c>
      <c r="B99" t="s">
        <v>1323</v>
      </c>
      <c r="C99" t="s">
        <v>1324</v>
      </c>
      <c r="D99" t="s">
        <v>1339</v>
      </c>
    </row>
    <row r="100" spans="1:4" ht="20.399999999999999" thickBot="1" x14ac:dyDescent="0.45">
      <c r="A100" s="1" t="s">
        <v>1340</v>
      </c>
    </row>
    <row r="101" spans="1:4" ht="15" thickTop="1" x14ac:dyDescent="0.3">
      <c r="A101" t="s">
        <v>1289</v>
      </c>
      <c r="B101" t="s">
        <v>1341</v>
      </c>
      <c r="C101" t="s">
        <v>1342</v>
      </c>
      <c r="D101" t="s">
        <v>1343</v>
      </c>
    </row>
    <row r="102" spans="1:4" x14ac:dyDescent="0.3">
      <c r="A102" t="s">
        <v>1204</v>
      </c>
      <c r="B102" t="s">
        <v>1344</v>
      </c>
      <c r="C102" t="s">
        <v>1345</v>
      </c>
      <c r="D102" t="s">
        <v>1345</v>
      </c>
    </row>
    <row r="103" spans="1:4" x14ac:dyDescent="0.3">
      <c r="A103" t="s">
        <v>1334</v>
      </c>
      <c r="B103" t="s">
        <v>1346</v>
      </c>
      <c r="C103" t="s">
        <v>1347</v>
      </c>
      <c r="D103" t="s">
        <v>1348</v>
      </c>
    </row>
    <row r="104" spans="1:4" x14ac:dyDescent="0.3">
      <c r="A104" t="s">
        <v>1243</v>
      </c>
      <c r="B104" t="s">
        <v>1349</v>
      </c>
      <c r="C104" t="s">
        <v>1350</v>
      </c>
      <c r="D104" t="s">
        <v>1350</v>
      </c>
    </row>
    <row r="105" spans="1:4" x14ac:dyDescent="0.3">
      <c r="A105" t="s">
        <v>1188</v>
      </c>
      <c r="B105" t="s">
        <v>1323</v>
      </c>
      <c r="C105" t="s">
        <v>1324</v>
      </c>
      <c r="D105" t="s">
        <v>1351</v>
      </c>
    </row>
    <row r="106" spans="1:4" ht="20.399999999999999" thickBot="1" x14ac:dyDescent="0.45">
      <c r="A106" s="1" t="s">
        <v>1352</v>
      </c>
    </row>
    <row r="107" spans="1:4" ht="15" thickTop="1" x14ac:dyDescent="0.3">
      <c r="A107">
        <v>0</v>
      </c>
      <c r="B107" t="s">
        <v>1353</v>
      </c>
      <c r="C107" t="s">
        <v>1354</v>
      </c>
      <c r="D107" t="s">
        <v>1355</v>
      </c>
    </row>
    <row r="108" spans="1:4" x14ac:dyDescent="0.3">
      <c r="A108" t="s">
        <v>1356</v>
      </c>
      <c r="B108" t="s">
        <v>1357</v>
      </c>
      <c r="C108" t="s">
        <v>1358</v>
      </c>
      <c r="D108" t="s">
        <v>1359</v>
      </c>
    </row>
    <row r="109" spans="1:4" x14ac:dyDescent="0.3">
      <c r="A109" t="s">
        <v>1360</v>
      </c>
      <c r="B109" t="s">
        <v>1361</v>
      </c>
      <c r="C109" t="s">
        <v>1362</v>
      </c>
      <c r="D109" t="s">
        <v>1363</v>
      </c>
    </row>
    <row r="110" spans="1:4" x14ac:dyDescent="0.3">
      <c r="A110" t="s">
        <v>1364</v>
      </c>
      <c r="B110" t="s">
        <v>1365</v>
      </c>
      <c r="C110" t="s">
        <v>1366</v>
      </c>
      <c r="D110" t="s">
        <v>1367</v>
      </c>
    </row>
    <row r="111" spans="1:4" x14ac:dyDescent="0.3">
      <c r="A111" t="s">
        <v>1368</v>
      </c>
      <c r="B111" t="s">
        <v>1369</v>
      </c>
      <c r="C111" t="s">
        <v>1370</v>
      </c>
      <c r="D111" t="s">
        <v>1371</v>
      </c>
    </row>
    <row r="112" spans="1:4" x14ac:dyDescent="0.3">
      <c r="A112" t="s">
        <v>1372</v>
      </c>
      <c r="B112" t="s">
        <v>1373</v>
      </c>
      <c r="C112" t="s">
        <v>1374</v>
      </c>
      <c r="D112" t="s">
        <v>1375</v>
      </c>
    </row>
    <row r="113" spans="1:4" x14ac:dyDescent="0.3">
      <c r="A113" t="s">
        <v>1376</v>
      </c>
      <c r="B113" t="s">
        <v>1377</v>
      </c>
      <c r="C113" t="s">
        <v>1378</v>
      </c>
      <c r="D113" t="s">
        <v>1379</v>
      </c>
    </row>
    <row r="114" spans="1:4" x14ac:dyDescent="0.3">
      <c r="A114" t="s">
        <v>1380</v>
      </c>
      <c r="B114" t="s">
        <v>1381</v>
      </c>
      <c r="C114" t="s">
        <v>1382</v>
      </c>
      <c r="D114" t="s">
        <v>1383</v>
      </c>
    </row>
    <row r="115" spans="1:4" x14ac:dyDescent="0.3">
      <c r="A115" t="s">
        <v>1188</v>
      </c>
      <c r="B115" t="s">
        <v>1323</v>
      </c>
      <c r="C115" t="s">
        <v>1324</v>
      </c>
      <c r="D115" t="s">
        <v>1384</v>
      </c>
    </row>
    <row r="116" spans="1:4" ht="20.399999999999999" thickBot="1" x14ac:dyDescent="0.45">
      <c r="A116" s="1" t="s">
        <v>1385</v>
      </c>
    </row>
    <row r="117" spans="1:4" ht="15" thickTop="1" x14ac:dyDescent="0.3">
      <c r="A117">
        <v>0</v>
      </c>
      <c r="B117" t="s">
        <v>1386</v>
      </c>
      <c r="C117" t="s">
        <v>1387</v>
      </c>
      <c r="D117" t="s">
        <v>1388</v>
      </c>
    </row>
    <row r="118" spans="1:4" x14ac:dyDescent="0.3">
      <c r="A118" t="s">
        <v>1289</v>
      </c>
      <c r="B118" t="s">
        <v>1389</v>
      </c>
      <c r="C118" t="s">
        <v>1390</v>
      </c>
      <c r="D118" t="s">
        <v>1390</v>
      </c>
    </row>
    <row r="119" spans="1:4" x14ac:dyDescent="0.3">
      <c r="A119" t="s">
        <v>1391</v>
      </c>
      <c r="B119" t="s">
        <v>1392</v>
      </c>
      <c r="C119" t="s">
        <v>1393</v>
      </c>
      <c r="D119" t="s">
        <v>1394</v>
      </c>
    </row>
    <row r="120" spans="1:4" x14ac:dyDescent="0.3">
      <c r="A120" t="s">
        <v>1395</v>
      </c>
      <c r="B120" t="s">
        <v>1396</v>
      </c>
      <c r="C120" t="s">
        <v>1397</v>
      </c>
      <c r="D120" t="s">
        <v>1398</v>
      </c>
    </row>
    <row r="121" spans="1:4" x14ac:dyDescent="0.3">
      <c r="A121" t="s">
        <v>1250</v>
      </c>
      <c r="B121" t="s">
        <v>1399</v>
      </c>
      <c r="C121" t="s">
        <v>1400</v>
      </c>
      <c r="D121" t="s">
        <v>1400</v>
      </c>
    </row>
    <row r="122" spans="1:4" x14ac:dyDescent="0.3">
      <c r="A122" t="s">
        <v>1219</v>
      </c>
      <c r="B122" t="s">
        <v>1401</v>
      </c>
      <c r="C122" t="s">
        <v>1402</v>
      </c>
      <c r="D122" t="s">
        <v>1402</v>
      </c>
    </row>
    <row r="123" spans="1:4" x14ac:dyDescent="0.3">
      <c r="A123" t="s">
        <v>1403</v>
      </c>
      <c r="B123" t="s">
        <v>1404</v>
      </c>
      <c r="C123" t="s">
        <v>1405</v>
      </c>
      <c r="D123" t="s">
        <v>1406</v>
      </c>
    </row>
    <row r="124" spans="1:4" x14ac:dyDescent="0.3">
      <c r="A124" t="s">
        <v>1407</v>
      </c>
      <c r="B124" t="s">
        <v>1408</v>
      </c>
      <c r="C124" t="s">
        <v>1409</v>
      </c>
      <c r="D124" t="s">
        <v>1410</v>
      </c>
    </row>
    <row r="125" spans="1:4" x14ac:dyDescent="0.3">
      <c r="A125" t="s">
        <v>1411</v>
      </c>
      <c r="B125" t="s">
        <v>1412</v>
      </c>
      <c r="C125" t="s">
        <v>1413</v>
      </c>
      <c r="D125" t="s">
        <v>1413</v>
      </c>
    </row>
    <row r="126" spans="1:4" x14ac:dyDescent="0.3">
      <c r="A126" t="s">
        <v>1334</v>
      </c>
      <c r="B126" t="s">
        <v>1414</v>
      </c>
      <c r="C126" t="s">
        <v>1415</v>
      </c>
      <c r="D126" t="s">
        <v>1416</v>
      </c>
    </row>
    <row r="127" spans="1:4" x14ac:dyDescent="0.3">
      <c r="A127" t="s">
        <v>1417</v>
      </c>
      <c r="B127" t="s">
        <v>1418</v>
      </c>
      <c r="C127" t="s">
        <v>1419</v>
      </c>
      <c r="D127" t="s">
        <v>1420</v>
      </c>
    </row>
    <row r="128" spans="1:4" x14ac:dyDescent="0.3">
      <c r="A128" t="s">
        <v>1421</v>
      </c>
      <c r="B128" t="s">
        <v>1422</v>
      </c>
      <c r="C128" t="s">
        <v>1423</v>
      </c>
      <c r="D128" t="s">
        <v>1424</v>
      </c>
    </row>
    <row r="129" spans="1:4" x14ac:dyDescent="0.3">
      <c r="A129" t="s">
        <v>1425</v>
      </c>
      <c r="B129" t="s">
        <v>1426</v>
      </c>
      <c r="C129" t="s">
        <v>1427</v>
      </c>
      <c r="D129" t="s">
        <v>1428</v>
      </c>
    </row>
    <row r="130" spans="1:4" x14ac:dyDescent="0.3">
      <c r="A130" t="s">
        <v>1176</v>
      </c>
      <c r="B130" t="s">
        <v>1429</v>
      </c>
      <c r="C130" t="s">
        <v>1430</v>
      </c>
      <c r="D130" t="s">
        <v>1430</v>
      </c>
    </row>
    <row r="131" spans="1:4" x14ac:dyDescent="0.3">
      <c r="A131" t="s">
        <v>1431</v>
      </c>
      <c r="B131" t="s">
        <v>1432</v>
      </c>
      <c r="C131" t="s">
        <v>1433</v>
      </c>
      <c r="D131" t="s">
        <v>1434</v>
      </c>
    </row>
    <row r="132" spans="1:4" x14ac:dyDescent="0.3">
      <c r="A132" t="s">
        <v>1435</v>
      </c>
      <c r="B132" t="s">
        <v>1436</v>
      </c>
      <c r="C132" t="s">
        <v>1437</v>
      </c>
      <c r="D132" t="s">
        <v>1438</v>
      </c>
    </row>
    <row r="133" spans="1:4" x14ac:dyDescent="0.3">
      <c r="A133" t="s">
        <v>1188</v>
      </c>
      <c r="B133" t="s">
        <v>1323</v>
      </c>
      <c r="C133" t="s">
        <v>1324</v>
      </c>
      <c r="D133" t="s">
        <v>1439</v>
      </c>
    </row>
    <row r="134" spans="1:4" ht="20.399999999999999" thickBot="1" x14ac:dyDescent="0.45">
      <c r="A134" s="1" t="s">
        <v>1440</v>
      </c>
    </row>
    <row r="135" spans="1:4" ht="15" thickTop="1" x14ac:dyDescent="0.3">
      <c r="A135" t="s">
        <v>1289</v>
      </c>
      <c r="B135" t="s">
        <v>1441</v>
      </c>
      <c r="C135" t="s">
        <v>1442</v>
      </c>
      <c r="D135" t="s">
        <v>1443</v>
      </c>
    </row>
    <row r="136" spans="1:4" x14ac:dyDescent="0.3">
      <c r="A136" t="s">
        <v>1356</v>
      </c>
      <c r="B136" t="s">
        <v>1444</v>
      </c>
      <c r="C136" t="s">
        <v>1445</v>
      </c>
      <c r="D136" t="s">
        <v>1446</v>
      </c>
    </row>
    <row r="137" spans="1:4" x14ac:dyDescent="0.3">
      <c r="A137" t="s">
        <v>1176</v>
      </c>
      <c r="B137" t="s">
        <v>1447</v>
      </c>
      <c r="C137" t="s">
        <v>1448</v>
      </c>
      <c r="D137" t="s">
        <v>1449</v>
      </c>
    </row>
    <row r="138" spans="1:4" ht="20.399999999999999" thickBot="1" x14ac:dyDescent="0.45">
      <c r="A138" s="1" t="s">
        <v>1450</v>
      </c>
    </row>
    <row r="139" spans="1:4" ht="15" thickTop="1" x14ac:dyDescent="0.3">
      <c r="A139" t="s">
        <v>1451</v>
      </c>
      <c r="B139" t="s">
        <v>1452</v>
      </c>
      <c r="C139" t="s">
        <v>1453</v>
      </c>
      <c r="D139" t="s">
        <v>1454</v>
      </c>
    </row>
    <row r="140" spans="1:4" x14ac:dyDescent="0.3">
      <c r="A140" t="s">
        <v>1330</v>
      </c>
      <c r="B140" t="s">
        <v>1455</v>
      </c>
      <c r="C140" t="s">
        <v>1456</v>
      </c>
      <c r="D140" t="s">
        <v>1457</v>
      </c>
    </row>
    <row r="141" spans="1:4" ht="20.399999999999999" thickBot="1" x14ac:dyDescent="0.45">
      <c r="A141" s="1" t="s">
        <v>1458</v>
      </c>
    </row>
    <row r="142" spans="1:4" ht="15" thickTop="1" x14ac:dyDescent="0.3">
      <c r="A142" t="s">
        <v>1035</v>
      </c>
      <c r="B142" t="s">
        <v>1459</v>
      </c>
      <c r="C142" t="s">
        <v>1460</v>
      </c>
      <c r="D142" t="s">
        <v>1461</v>
      </c>
    </row>
    <row r="143" spans="1:4" x14ac:dyDescent="0.3">
      <c r="A143" t="s">
        <v>1229</v>
      </c>
      <c r="B143" t="s">
        <v>1462</v>
      </c>
      <c r="C143" t="s">
        <v>1463</v>
      </c>
      <c r="D143" t="s">
        <v>1464</v>
      </c>
    </row>
    <row r="144" spans="1:4" x14ac:dyDescent="0.3">
      <c r="A144" t="s">
        <v>1208</v>
      </c>
      <c r="B144" t="s">
        <v>1465</v>
      </c>
      <c r="C144" t="s">
        <v>1466</v>
      </c>
      <c r="D144" t="s">
        <v>1467</v>
      </c>
    </row>
    <row r="145" spans="1:4" ht="20.399999999999999" thickBot="1" x14ac:dyDescent="0.45">
      <c r="A145" s="1" t="s">
        <v>1468</v>
      </c>
    </row>
    <row r="146" spans="1:4" ht="15" thickTop="1" x14ac:dyDescent="0.3">
      <c r="A146" t="s">
        <v>1289</v>
      </c>
      <c r="B146" t="s">
        <v>1469</v>
      </c>
      <c r="C146" t="s">
        <v>1470</v>
      </c>
      <c r="D146" t="s">
        <v>1470</v>
      </c>
    </row>
    <row r="147" spans="1:4" x14ac:dyDescent="0.3">
      <c r="A147" t="s">
        <v>1035</v>
      </c>
      <c r="B147" t="s">
        <v>1471</v>
      </c>
      <c r="C147" t="s">
        <v>1472</v>
      </c>
      <c r="D147" t="s">
        <v>1472</v>
      </c>
    </row>
    <row r="148" spans="1:4" x14ac:dyDescent="0.3">
      <c r="A148" t="s">
        <v>1302</v>
      </c>
      <c r="B148" t="s">
        <v>1473</v>
      </c>
      <c r="C148" t="s">
        <v>1474</v>
      </c>
      <c r="D148" t="s">
        <v>1475</v>
      </c>
    </row>
    <row r="149" spans="1:4" x14ac:dyDescent="0.3">
      <c r="A149" t="s">
        <v>1219</v>
      </c>
      <c r="B149" t="s">
        <v>1476</v>
      </c>
      <c r="C149" t="s">
        <v>1477</v>
      </c>
      <c r="D149" t="s">
        <v>1478</v>
      </c>
    </row>
    <row r="150" spans="1:4" x14ac:dyDescent="0.3">
      <c r="A150" t="s">
        <v>1204</v>
      </c>
      <c r="B150" t="s">
        <v>1479</v>
      </c>
      <c r="C150" t="s">
        <v>1480</v>
      </c>
      <c r="D150" t="s">
        <v>1481</v>
      </c>
    </row>
    <row r="151" spans="1:4" x14ac:dyDescent="0.3">
      <c r="A151" t="s">
        <v>1356</v>
      </c>
      <c r="B151" t="s">
        <v>1482</v>
      </c>
      <c r="C151" t="s">
        <v>1483</v>
      </c>
      <c r="D151" t="s">
        <v>1484</v>
      </c>
    </row>
    <row r="152" spans="1:4" x14ac:dyDescent="0.3">
      <c r="A152" t="s">
        <v>1485</v>
      </c>
      <c r="B152" t="s">
        <v>1486</v>
      </c>
      <c r="C152" t="s">
        <v>1487</v>
      </c>
      <c r="D152" t="s">
        <v>1488</v>
      </c>
    </row>
    <row r="153" spans="1:4" x14ac:dyDescent="0.3">
      <c r="A153" t="s">
        <v>1240</v>
      </c>
      <c r="B153" t="s">
        <v>1489</v>
      </c>
      <c r="C153" t="s">
        <v>1490</v>
      </c>
      <c r="D153" t="s">
        <v>1491</v>
      </c>
    </row>
    <row r="154" spans="1:4" x14ac:dyDescent="0.3">
      <c r="A154" t="s">
        <v>1243</v>
      </c>
      <c r="B154" t="s">
        <v>1492</v>
      </c>
      <c r="C154" t="s">
        <v>1493</v>
      </c>
      <c r="D154" t="s">
        <v>1493</v>
      </c>
    </row>
    <row r="155" spans="1:4" x14ac:dyDescent="0.3">
      <c r="A155" t="s">
        <v>1176</v>
      </c>
      <c r="B155" t="s">
        <v>1494</v>
      </c>
      <c r="C155" t="s">
        <v>1495</v>
      </c>
      <c r="D155" t="s">
        <v>1496</v>
      </c>
    </row>
    <row r="156" spans="1:4" x14ac:dyDescent="0.3">
      <c r="A156" t="s">
        <v>1188</v>
      </c>
      <c r="B156" t="s">
        <v>1323</v>
      </c>
      <c r="C156" t="s">
        <v>1324</v>
      </c>
      <c r="D156" t="s">
        <v>1497</v>
      </c>
    </row>
    <row r="157" spans="1:4" ht="20.399999999999999" thickBot="1" x14ac:dyDescent="0.45">
      <c r="A157" s="1" t="s">
        <v>1498</v>
      </c>
    </row>
    <row r="158" spans="1:4" ht="15" thickTop="1" x14ac:dyDescent="0.3">
      <c r="A158" t="s">
        <v>1499</v>
      </c>
      <c r="B158" t="s">
        <v>1500</v>
      </c>
      <c r="C158" t="s">
        <v>1501</v>
      </c>
      <c r="D158" t="s">
        <v>1502</v>
      </c>
    </row>
    <row r="159" spans="1:4" x14ac:dyDescent="0.3">
      <c r="A159" t="s">
        <v>1503</v>
      </c>
      <c r="B159" t="s">
        <v>1504</v>
      </c>
      <c r="C159" t="s">
        <v>1505</v>
      </c>
      <c r="D159" t="s">
        <v>1506</v>
      </c>
    </row>
    <row r="160" spans="1:4" x14ac:dyDescent="0.3">
      <c r="A160" t="s">
        <v>1507</v>
      </c>
      <c r="B160" t="s">
        <v>1508</v>
      </c>
      <c r="C160" t="s">
        <v>1509</v>
      </c>
      <c r="D160" t="s">
        <v>1510</v>
      </c>
    </row>
    <row r="161" spans="1:4" x14ac:dyDescent="0.3">
      <c r="A161" t="s">
        <v>1511</v>
      </c>
      <c r="B161" t="s">
        <v>1512</v>
      </c>
      <c r="C161" t="s">
        <v>1513</v>
      </c>
      <c r="D161" t="s">
        <v>1514</v>
      </c>
    </row>
    <row r="162" spans="1:4" x14ac:dyDescent="0.3">
      <c r="A162" t="s">
        <v>1515</v>
      </c>
      <c r="B162" t="s">
        <v>1516</v>
      </c>
      <c r="C162" t="s">
        <v>1517</v>
      </c>
      <c r="D162" t="s">
        <v>1518</v>
      </c>
    </row>
    <row r="163" spans="1:4" x14ac:dyDescent="0.3">
      <c r="A163" t="s">
        <v>1519</v>
      </c>
      <c r="B163" t="s">
        <v>1520</v>
      </c>
      <c r="C163" t="s">
        <v>1521</v>
      </c>
      <c r="D163" t="s">
        <v>1522</v>
      </c>
    </row>
    <row r="164" spans="1:4" x14ac:dyDescent="0.3">
      <c r="A164" t="s">
        <v>1523</v>
      </c>
      <c r="B164" t="s">
        <v>1524</v>
      </c>
      <c r="C164" t="s">
        <v>1525</v>
      </c>
      <c r="D164" t="s">
        <v>1526</v>
      </c>
    </row>
    <row r="165" spans="1:4" x14ac:dyDescent="0.3">
      <c r="A165" t="s">
        <v>1527</v>
      </c>
      <c r="B165" t="s">
        <v>1528</v>
      </c>
      <c r="C165" t="s">
        <v>1529</v>
      </c>
      <c r="D165" t="s">
        <v>1529</v>
      </c>
    </row>
    <row r="166" spans="1:4" x14ac:dyDescent="0.3">
      <c r="A166" t="s">
        <v>1530</v>
      </c>
      <c r="B166" t="s">
        <v>1531</v>
      </c>
      <c r="C166" t="s">
        <v>1532</v>
      </c>
      <c r="D166" t="s">
        <v>1533</v>
      </c>
    </row>
    <row r="167" spans="1:4" x14ac:dyDescent="0.3">
      <c r="A167" t="s">
        <v>1534</v>
      </c>
      <c r="B167" t="s">
        <v>1535</v>
      </c>
      <c r="C167" t="s">
        <v>1536</v>
      </c>
      <c r="D167" t="s">
        <v>1537</v>
      </c>
    </row>
    <row r="168" spans="1:4" x14ac:dyDescent="0.3">
      <c r="A168" t="s">
        <v>1538</v>
      </c>
      <c r="B168" t="s">
        <v>1539</v>
      </c>
      <c r="C168" t="s">
        <v>1540</v>
      </c>
      <c r="D168" t="s">
        <v>1541</v>
      </c>
    </row>
    <row r="169" spans="1:4" x14ac:dyDescent="0.3">
      <c r="A169" t="s">
        <v>1542</v>
      </c>
      <c r="B169" t="s">
        <v>1543</v>
      </c>
      <c r="C169" t="s">
        <v>1544</v>
      </c>
      <c r="D169" t="s">
        <v>1545</v>
      </c>
    </row>
    <row r="170" spans="1:4" x14ac:dyDescent="0.3">
      <c r="A170" t="s">
        <v>1546</v>
      </c>
      <c r="B170" t="s">
        <v>1547</v>
      </c>
      <c r="C170" t="s">
        <v>1548</v>
      </c>
      <c r="D170" t="s">
        <v>1549</v>
      </c>
    </row>
    <row r="171" spans="1:4" x14ac:dyDescent="0.3">
      <c r="A171" t="s">
        <v>1550</v>
      </c>
      <c r="B171" t="s">
        <v>1551</v>
      </c>
      <c r="C171" t="s">
        <v>1552</v>
      </c>
      <c r="D171" t="s">
        <v>1553</v>
      </c>
    </row>
    <row r="172" spans="1:4" x14ac:dyDescent="0.3">
      <c r="A172" t="s">
        <v>1554</v>
      </c>
      <c r="B172" t="s">
        <v>1555</v>
      </c>
      <c r="C172" t="s">
        <v>1556</v>
      </c>
      <c r="D172" t="s">
        <v>1557</v>
      </c>
    </row>
    <row r="173" spans="1:4" x14ac:dyDescent="0.3">
      <c r="A173" t="s">
        <v>1558</v>
      </c>
      <c r="B173" t="s">
        <v>1559</v>
      </c>
      <c r="C173" t="s">
        <v>1560</v>
      </c>
      <c r="D173" t="s">
        <v>1561</v>
      </c>
    </row>
    <row r="174" spans="1:4" x14ac:dyDescent="0.3">
      <c r="A174" t="s">
        <v>1562</v>
      </c>
      <c r="B174" t="s">
        <v>1563</v>
      </c>
      <c r="C174" t="s">
        <v>1564</v>
      </c>
      <c r="D174" t="s">
        <v>1565</v>
      </c>
    </row>
    <row r="175" spans="1:4" x14ac:dyDescent="0.3">
      <c r="A175" t="s">
        <v>1566</v>
      </c>
      <c r="B175" t="s">
        <v>1567</v>
      </c>
      <c r="C175" t="s">
        <v>1568</v>
      </c>
      <c r="D175" t="s">
        <v>1569</v>
      </c>
    </row>
    <row r="176" spans="1:4" x14ac:dyDescent="0.3">
      <c r="A176" t="s">
        <v>1570</v>
      </c>
      <c r="B176" t="s">
        <v>1571</v>
      </c>
      <c r="C176" t="s">
        <v>1572</v>
      </c>
      <c r="D176" t="s">
        <v>1573</v>
      </c>
    </row>
    <row r="177" spans="1:4" x14ac:dyDescent="0.3">
      <c r="A177" t="s">
        <v>1574</v>
      </c>
      <c r="B177" t="s">
        <v>1575</v>
      </c>
      <c r="C177" t="s">
        <v>1576</v>
      </c>
      <c r="D177" t="s">
        <v>1577</v>
      </c>
    </row>
    <row r="178" spans="1:4" x14ac:dyDescent="0.3">
      <c r="A178" t="s">
        <v>1578</v>
      </c>
      <c r="B178" t="s">
        <v>1473</v>
      </c>
      <c r="C178" t="s">
        <v>1474</v>
      </c>
      <c r="D178" t="s">
        <v>1475</v>
      </c>
    </row>
    <row r="179" spans="1:4" x14ac:dyDescent="0.3">
      <c r="A179" t="s">
        <v>1579</v>
      </c>
      <c r="B179" t="s">
        <v>1580</v>
      </c>
      <c r="C179" t="s">
        <v>1581</v>
      </c>
      <c r="D179" t="s">
        <v>1582</v>
      </c>
    </row>
    <row r="180" spans="1:4" x14ac:dyDescent="0.3">
      <c r="A180" t="s">
        <v>1583</v>
      </c>
      <c r="B180" t="s">
        <v>1584</v>
      </c>
      <c r="C180" t="s">
        <v>1585</v>
      </c>
      <c r="D180" t="s">
        <v>1586</v>
      </c>
    </row>
    <row r="181" spans="1:4" x14ac:dyDescent="0.3">
      <c r="A181" t="s">
        <v>1587</v>
      </c>
      <c r="B181" t="s">
        <v>1588</v>
      </c>
      <c r="C181" t="s">
        <v>1589</v>
      </c>
      <c r="D181" t="s">
        <v>1590</v>
      </c>
    </row>
    <row r="182" spans="1:4" x14ac:dyDescent="0.3">
      <c r="A182" t="s">
        <v>1591</v>
      </c>
      <c r="B182" t="s">
        <v>1592</v>
      </c>
      <c r="C182" t="s">
        <v>1593</v>
      </c>
      <c r="D182" t="s">
        <v>1594</v>
      </c>
    </row>
    <row r="183" spans="1:4" x14ac:dyDescent="0.3">
      <c r="A183" t="s">
        <v>1595</v>
      </c>
      <c r="B183" t="s">
        <v>1596</v>
      </c>
      <c r="C183" t="s">
        <v>1597</v>
      </c>
      <c r="D183" t="s">
        <v>1598</v>
      </c>
    </row>
    <row r="184" spans="1:4" x14ac:dyDescent="0.3">
      <c r="A184" t="s">
        <v>1188</v>
      </c>
      <c r="B184" t="s">
        <v>1323</v>
      </c>
      <c r="C184" t="s">
        <v>1324</v>
      </c>
      <c r="D184" t="s">
        <v>1599</v>
      </c>
    </row>
    <row r="185" spans="1:4" ht="20.399999999999999" thickBot="1" x14ac:dyDescent="0.45">
      <c r="A185" s="1" t="s">
        <v>1600</v>
      </c>
    </row>
    <row r="186" spans="1:4" ht="15" thickTop="1" x14ac:dyDescent="0.3">
      <c r="A186" t="s">
        <v>1302</v>
      </c>
      <c r="B186" t="s">
        <v>1601</v>
      </c>
      <c r="C186" t="s">
        <v>1602</v>
      </c>
      <c r="D186" t="s">
        <v>1603</v>
      </c>
    </row>
    <row r="187" spans="1:4" x14ac:dyDescent="0.3">
      <c r="A187" t="s">
        <v>1604</v>
      </c>
      <c r="B187" t="s">
        <v>1605</v>
      </c>
      <c r="C187" t="s">
        <v>1606</v>
      </c>
      <c r="D187" t="s">
        <v>1607</v>
      </c>
    </row>
    <row r="188" spans="1:4" x14ac:dyDescent="0.3">
      <c r="A188" t="s">
        <v>1240</v>
      </c>
      <c r="B188" t="s">
        <v>1608</v>
      </c>
      <c r="C188" t="s">
        <v>1609</v>
      </c>
      <c r="D188" t="s">
        <v>1610</v>
      </c>
    </row>
    <row r="189" spans="1:4" x14ac:dyDescent="0.3">
      <c r="A189" t="s">
        <v>1188</v>
      </c>
      <c r="B189" t="s">
        <v>1323</v>
      </c>
      <c r="C189" t="s">
        <v>1324</v>
      </c>
      <c r="D189" t="s">
        <v>1611</v>
      </c>
    </row>
    <row r="190" spans="1:4" ht="20.399999999999999" thickBot="1" x14ac:dyDescent="0.45">
      <c r="A190" s="1" t="s">
        <v>1612</v>
      </c>
    </row>
    <row r="191" spans="1:4" ht="15" thickTop="1" x14ac:dyDescent="0.3">
      <c r="A191">
        <v>0</v>
      </c>
      <c r="B191" t="s">
        <v>1613</v>
      </c>
      <c r="C191" t="s">
        <v>1614</v>
      </c>
      <c r="D191" t="s">
        <v>1615</v>
      </c>
    </row>
    <row r="192" spans="1:4" x14ac:dyDescent="0.3">
      <c r="A192" t="s">
        <v>1289</v>
      </c>
      <c r="B192" t="s">
        <v>1616</v>
      </c>
      <c r="C192" t="s">
        <v>1617</v>
      </c>
      <c r="D192" t="s">
        <v>1618</v>
      </c>
    </row>
    <row r="193" spans="1:4" x14ac:dyDescent="0.3">
      <c r="A193" t="s">
        <v>1035</v>
      </c>
      <c r="B193" t="s">
        <v>1619</v>
      </c>
      <c r="C193" t="s">
        <v>1620</v>
      </c>
      <c r="D193" t="s">
        <v>1621</v>
      </c>
    </row>
    <row r="194" spans="1:4" x14ac:dyDescent="0.3">
      <c r="A194" t="s">
        <v>1296</v>
      </c>
      <c r="B194" t="s">
        <v>1622</v>
      </c>
      <c r="C194" t="s">
        <v>1623</v>
      </c>
      <c r="D194" t="s">
        <v>1624</v>
      </c>
    </row>
    <row r="195" spans="1:4" x14ac:dyDescent="0.3">
      <c r="A195" t="s">
        <v>1200</v>
      </c>
      <c r="B195" t="s">
        <v>1625</v>
      </c>
      <c r="C195" t="s">
        <v>1626</v>
      </c>
      <c r="D195" t="s">
        <v>1627</v>
      </c>
    </row>
    <row r="196" spans="1:4" x14ac:dyDescent="0.3">
      <c r="A196" t="s">
        <v>1302</v>
      </c>
      <c r="B196" t="s">
        <v>1628</v>
      </c>
      <c r="C196" t="s">
        <v>1629</v>
      </c>
      <c r="D196" t="s">
        <v>1630</v>
      </c>
    </row>
    <row r="197" spans="1:4" x14ac:dyDescent="0.3">
      <c r="A197" t="s">
        <v>1219</v>
      </c>
      <c r="B197" t="s">
        <v>1631</v>
      </c>
      <c r="C197" t="s">
        <v>1632</v>
      </c>
      <c r="D197" t="s">
        <v>1633</v>
      </c>
    </row>
    <row r="198" spans="1:4" x14ac:dyDescent="0.3">
      <c r="A198" t="s">
        <v>1188</v>
      </c>
      <c r="B198" t="s">
        <v>1323</v>
      </c>
      <c r="C198" t="s">
        <v>1324</v>
      </c>
      <c r="D198" t="s">
        <v>1634</v>
      </c>
    </row>
    <row r="199" spans="1:4" ht="20.399999999999999" thickBot="1" x14ac:dyDescent="0.45">
      <c r="A199" s="1" t="s">
        <v>1635</v>
      </c>
    </row>
    <row r="200" spans="1:4" ht="15" thickTop="1" x14ac:dyDescent="0.3">
      <c r="A200" t="s">
        <v>1289</v>
      </c>
      <c r="B200" t="s">
        <v>1290</v>
      </c>
      <c r="C200" t="s">
        <v>1291</v>
      </c>
      <c r="D200" t="s">
        <v>1636</v>
      </c>
    </row>
    <row r="201" spans="1:4" x14ac:dyDescent="0.3">
      <c r="A201" t="s">
        <v>1035</v>
      </c>
      <c r="B201" t="s">
        <v>1293</v>
      </c>
      <c r="C201" t="s">
        <v>1294</v>
      </c>
      <c r="D201" t="s">
        <v>1637</v>
      </c>
    </row>
    <row r="202" spans="1:4" x14ac:dyDescent="0.3">
      <c r="A202" t="s">
        <v>1296</v>
      </c>
      <c r="B202" t="s">
        <v>1638</v>
      </c>
      <c r="C202" t="s">
        <v>1639</v>
      </c>
      <c r="D202" t="s">
        <v>1640</v>
      </c>
    </row>
    <row r="203" spans="1:4" x14ac:dyDescent="0.3">
      <c r="A203" t="s">
        <v>1200</v>
      </c>
      <c r="B203" t="s">
        <v>1641</v>
      </c>
      <c r="C203" t="s">
        <v>1642</v>
      </c>
      <c r="D203" t="s">
        <v>1643</v>
      </c>
    </row>
    <row r="204" spans="1:4" x14ac:dyDescent="0.3">
      <c r="A204" t="s">
        <v>1302</v>
      </c>
      <c r="B204" t="s">
        <v>1306</v>
      </c>
      <c r="C204" t="s">
        <v>1307</v>
      </c>
      <c r="D204" t="s">
        <v>1644</v>
      </c>
    </row>
    <row r="205" spans="1:4" x14ac:dyDescent="0.3">
      <c r="A205" t="s">
        <v>1188</v>
      </c>
      <c r="B205" t="s">
        <v>1323</v>
      </c>
      <c r="C205" t="s">
        <v>1324</v>
      </c>
      <c r="D205" t="s">
        <v>1645</v>
      </c>
    </row>
    <row r="206" spans="1:4" ht="20.399999999999999" thickBot="1" x14ac:dyDescent="0.45">
      <c r="A206" s="1" t="s">
        <v>1646</v>
      </c>
    </row>
    <row r="207" spans="1:4" ht="15" thickTop="1" x14ac:dyDescent="0.3">
      <c r="A207" t="s">
        <v>1647</v>
      </c>
      <c r="B207" t="s">
        <v>1648</v>
      </c>
      <c r="C207" t="s">
        <v>1649</v>
      </c>
      <c r="D207" t="s">
        <v>1650</v>
      </c>
    </row>
    <row r="208" spans="1:4" x14ac:dyDescent="0.3">
      <c r="A208" t="s">
        <v>1651</v>
      </c>
      <c r="B208" t="s">
        <v>1652</v>
      </c>
      <c r="C208" t="s">
        <v>1653</v>
      </c>
      <c r="D208" t="s">
        <v>1654</v>
      </c>
    </row>
    <row r="209" spans="1:4" x14ac:dyDescent="0.3">
      <c r="A209" t="s">
        <v>1655</v>
      </c>
      <c r="B209" t="s">
        <v>1656</v>
      </c>
      <c r="C209" t="s">
        <v>1657</v>
      </c>
      <c r="D209" t="s">
        <v>1658</v>
      </c>
    </row>
    <row r="210" spans="1:4" x14ac:dyDescent="0.3">
      <c r="A210" t="s">
        <v>1659</v>
      </c>
      <c r="B210" t="s">
        <v>1660</v>
      </c>
      <c r="C210" t="s">
        <v>1661</v>
      </c>
      <c r="D210" t="s">
        <v>1662</v>
      </c>
    </row>
    <row r="211" spans="1:4" x14ac:dyDescent="0.3">
      <c r="A211" t="s">
        <v>1188</v>
      </c>
      <c r="B211" t="s">
        <v>1323</v>
      </c>
      <c r="C211" t="s">
        <v>1324</v>
      </c>
      <c r="D211" t="s">
        <v>1663</v>
      </c>
    </row>
    <row r="212" spans="1:4" ht="20.399999999999999" thickBot="1" x14ac:dyDescent="0.45">
      <c r="A212" s="1" t="s">
        <v>1664</v>
      </c>
    </row>
    <row r="213" spans="1:4" ht="15" thickTop="1" x14ac:dyDescent="0.3">
      <c r="A213" t="s">
        <v>1665</v>
      </c>
      <c r="B213" t="s">
        <v>1666</v>
      </c>
      <c r="C213" t="s">
        <v>1667</v>
      </c>
      <c r="D213" t="s">
        <v>1668</v>
      </c>
    </row>
    <row r="214" spans="1:4" x14ac:dyDescent="0.3">
      <c r="A214" t="s">
        <v>1049</v>
      </c>
      <c r="B214" t="s">
        <v>1050</v>
      </c>
      <c r="C214" t="s">
        <v>1051</v>
      </c>
      <c r="D214" t="s">
        <v>1669</v>
      </c>
    </row>
    <row r="215" spans="1:4" x14ac:dyDescent="0.3">
      <c r="A215" t="s">
        <v>1053</v>
      </c>
      <c r="B215" t="s">
        <v>1670</v>
      </c>
      <c r="C215" t="s">
        <v>1671</v>
      </c>
      <c r="D215" t="s">
        <v>1672</v>
      </c>
    </row>
    <row r="216" spans="1:4" x14ac:dyDescent="0.3">
      <c r="A216" t="s">
        <v>1673</v>
      </c>
      <c r="B216" t="s">
        <v>1674</v>
      </c>
      <c r="C216" t="s">
        <v>1675</v>
      </c>
      <c r="D216" t="s">
        <v>1676</v>
      </c>
    </row>
    <row r="217" spans="1:4" x14ac:dyDescent="0.3">
      <c r="A217" t="s">
        <v>1677</v>
      </c>
      <c r="B217" t="s">
        <v>1678</v>
      </c>
      <c r="C217" t="s">
        <v>1679</v>
      </c>
      <c r="D217" t="s">
        <v>1680</v>
      </c>
    </row>
    <row r="218" spans="1:4" x14ac:dyDescent="0.3">
      <c r="A218" t="s">
        <v>1079</v>
      </c>
      <c r="B218" t="s">
        <v>1681</v>
      </c>
      <c r="C218" t="s">
        <v>1682</v>
      </c>
      <c r="D218" t="s">
        <v>1683</v>
      </c>
    </row>
    <row r="219" spans="1:4" x14ac:dyDescent="0.3">
      <c r="A219" t="s">
        <v>571</v>
      </c>
      <c r="B219" t="s">
        <v>1136</v>
      </c>
      <c r="C219" t="s">
        <v>1137</v>
      </c>
      <c r="D219" t="s">
        <v>1684</v>
      </c>
    </row>
    <row r="220" spans="1:4" x14ac:dyDescent="0.3">
      <c r="A220" t="s">
        <v>1188</v>
      </c>
      <c r="B220" t="s">
        <v>1323</v>
      </c>
      <c r="C220" t="s">
        <v>1324</v>
      </c>
      <c r="D220" t="s">
        <v>1685</v>
      </c>
    </row>
    <row r="221" spans="1:4" ht="20.399999999999999" thickBot="1" x14ac:dyDescent="0.45">
      <c r="A221" s="1" t="s">
        <v>1686</v>
      </c>
    </row>
    <row r="222" spans="1:4" ht="15" thickTop="1" x14ac:dyDescent="0.3">
      <c r="A222" t="s">
        <v>1451</v>
      </c>
      <c r="B222" t="s">
        <v>1687</v>
      </c>
      <c r="C222" t="s">
        <v>1688</v>
      </c>
      <c r="D222" t="s">
        <v>1689</v>
      </c>
    </row>
    <row r="223" spans="1:4" x14ac:dyDescent="0.3">
      <c r="A223" t="s">
        <v>1330</v>
      </c>
      <c r="B223" t="s">
        <v>1690</v>
      </c>
      <c r="C223" t="s">
        <v>1691</v>
      </c>
      <c r="D223" t="s">
        <v>1692</v>
      </c>
    </row>
    <row r="224" spans="1:4" ht="20.399999999999999" thickBot="1" x14ac:dyDescent="0.45">
      <c r="A224" s="1" t="s">
        <v>2083</v>
      </c>
    </row>
    <row r="225" spans="1:4" ht="15" thickTop="1" x14ac:dyDescent="0.3">
      <c r="A225" t="s">
        <v>1289</v>
      </c>
      <c r="B225" t="s">
        <v>1693</v>
      </c>
      <c r="C225" t="s">
        <v>1694</v>
      </c>
      <c r="D225" t="s">
        <v>1695</v>
      </c>
    </row>
    <row r="226" spans="1:4" x14ac:dyDescent="0.3">
      <c r="A226" t="s">
        <v>1035</v>
      </c>
      <c r="B226" t="s">
        <v>1696</v>
      </c>
      <c r="C226" t="s">
        <v>1697</v>
      </c>
      <c r="D226" t="s">
        <v>1698</v>
      </c>
    </row>
    <row r="227" spans="1:4" x14ac:dyDescent="0.3">
      <c r="A227" t="s">
        <v>1296</v>
      </c>
      <c r="B227" t="s">
        <v>1699</v>
      </c>
      <c r="C227" t="s">
        <v>1700</v>
      </c>
      <c r="D227" t="s">
        <v>1701</v>
      </c>
    </row>
    <row r="228" spans="1:4" x14ac:dyDescent="0.3">
      <c r="A228" t="s">
        <v>1200</v>
      </c>
      <c r="B228" t="s">
        <v>1702</v>
      </c>
      <c r="C228" t="s">
        <v>1703</v>
      </c>
      <c r="D228" t="s">
        <v>1703</v>
      </c>
    </row>
    <row r="229" spans="1:4" x14ac:dyDescent="0.3">
      <c r="A229" t="s">
        <v>1302</v>
      </c>
      <c r="B229" t="s">
        <v>1704</v>
      </c>
      <c r="C229" t="s">
        <v>1705</v>
      </c>
      <c r="D229" t="s">
        <v>1706</v>
      </c>
    </row>
    <row r="230" spans="1:4" x14ac:dyDescent="0.3">
      <c r="A230" t="s">
        <v>1219</v>
      </c>
      <c r="B230" t="s">
        <v>1707</v>
      </c>
      <c r="C230" t="s">
        <v>1708</v>
      </c>
      <c r="D230" t="s">
        <v>1709</v>
      </c>
    </row>
    <row r="231" spans="1:4" x14ac:dyDescent="0.3">
      <c r="A231" t="s">
        <v>1204</v>
      </c>
      <c r="B231" t="s">
        <v>1710</v>
      </c>
      <c r="C231" t="s">
        <v>1711</v>
      </c>
      <c r="D231" t="s">
        <v>1711</v>
      </c>
    </row>
    <row r="232" spans="1:4" x14ac:dyDescent="0.3">
      <c r="A232" t="s">
        <v>1712</v>
      </c>
      <c r="B232" t="s">
        <v>1713</v>
      </c>
      <c r="C232" t="s">
        <v>1714</v>
      </c>
      <c r="D232" t="s">
        <v>1714</v>
      </c>
    </row>
    <row r="233" spans="1:4" x14ac:dyDescent="0.3">
      <c r="A233" t="s">
        <v>1356</v>
      </c>
      <c r="B233" t="s">
        <v>1715</v>
      </c>
      <c r="C233" t="s">
        <v>1716</v>
      </c>
      <c r="D233" t="s">
        <v>1716</v>
      </c>
    </row>
    <row r="234" spans="1:4" x14ac:dyDescent="0.3">
      <c r="A234" t="s">
        <v>1451</v>
      </c>
      <c r="B234" t="s">
        <v>1717</v>
      </c>
      <c r="C234" t="s">
        <v>1718</v>
      </c>
      <c r="D234" t="s">
        <v>1718</v>
      </c>
    </row>
    <row r="235" spans="1:4" ht="20.399999999999999" thickBot="1" x14ac:dyDescent="0.45">
      <c r="A235" s="1" t="s">
        <v>1719</v>
      </c>
    </row>
    <row r="236" spans="1:4" ht="15" thickTop="1" x14ac:dyDescent="0.3">
      <c r="A236" t="s">
        <v>1229</v>
      </c>
      <c r="B236" t="s">
        <v>1720</v>
      </c>
      <c r="C236" t="s">
        <v>1721</v>
      </c>
      <c r="D236" t="s">
        <v>1722</v>
      </c>
    </row>
    <row r="237" spans="1:4" x14ac:dyDescent="0.3">
      <c r="A237" t="s">
        <v>1451</v>
      </c>
      <c r="B237" t="s">
        <v>1723</v>
      </c>
      <c r="C237" t="s">
        <v>1724</v>
      </c>
      <c r="D237" t="s">
        <v>1725</v>
      </c>
    </row>
    <row r="238" spans="1:4" x14ac:dyDescent="0.3">
      <c r="A238" t="s">
        <v>1330</v>
      </c>
      <c r="B238" t="s">
        <v>1726</v>
      </c>
      <c r="C238" t="s">
        <v>1727</v>
      </c>
      <c r="D238" t="s">
        <v>1728</v>
      </c>
    </row>
    <row r="239" spans="1:4" ht="20.399999999999999" thickBot="1" x14ac:dyDescent="0.45">
      <c r="A239" s="1" t="s">
        <v>1729</v>
      </c>
    </row>
    <row r="240" spans="1:4" ht="15" thickTop="1" x14ac:dyDescent="0.3">
      <c r="A240" t="s">
        <v>1229</v>
      </c>
      <c r="B240" t="s">
        <v>1720</v>
      </c>
      <c r="C240" t="s">
        <v>1721</v>
      </c>
      <c r="D240" t="s">
        <v>1730</v>
      </c>
    </row>
    <row r="241" spans="1:4" x14ac:dyDescent="0.3">
      <c r="A241">
        <v>1</v>
      </c>
      <c r="B241" t="s">
        <v>1731</v>
      </c>
      <c r="C241" t="s">
        <v>1732</v>
      </c>
      <c r="D241" t="s">
        <v>1733</v>
      </c>
    </row>
    <row r="242" spans="1:4" x14ac:dyDescent="0.3">
      <c r="A242">
        <v>2</v>
      </c>
      <c r="B242" t="s">
        <v>1734</v>
      </c>
      <c r="C242" t="s">
        <v>1735</v>
      </c>
      <c r="D242" t="s">
        <v>1736</v>
      </c>
    </row>
    <row r="243" spans="1:4" x14ac:dyDescent="0.3">
      <c r="A243">
        <v>3</v>
      </c>
      <c r="B243" t="s">
        <v>1737</v>
      </c>
      <c r="C243" t="s">
        <v>1738</v>
      </c>
      <c r="D243" t="s">
        <v>1739</v>
      </c>
    </row>
    <row r="244" spans="1:4" x14ac:dyDescent="0.3">
      <c r="A244">
        <v>4</v>
      </c>
      <c r="B244" t="s">
        <v>1740</v>
      </c>
      <c r="C244" t="s">
        <v>1741</v>
      </c>
      <c r="D244" t="s">
        <v>1742</v>
      </c>
    </row>
    <row r="245" spans="1:4" ht="20.399999999999999" thickBot="1" x14ac:dyDescent="0.45">
      <c r="A245" s="1" t="s">
        <v>2084</v>
      </c>
    </row>
    <row r="246" spans="1:4" ht="15" thickTop="1" x14ac:dyDescent="0.3">
      <c r="A246" t="s">
        <v>1229</v>
      </c>
      <c r="B246" t="s">
        <v>1720</v>
      </c>
      <c r="C246" t="s">
        <v>1721</v>
      </c>
      <c r="D246" t="s">
        <v>2085</v>
      </c>
    </row>
    <row r="247" spans="1:4" x14ac:dyDescent="0.3">
      <c r="A247" t="s">
        <v>1356</v>
      </c>
      <c r="B247" t="s">
        <v>1743</v>
      </c>
      <c r="C247" t="s">
        <v>1744</v>
      </c>
      <c r="D247" t="s">
        <v>2086</v>
      </c>
    </row>
    <row r="248" spans="1:4" x14ac:dyDescent="0.3">
      <c r="A248" t="s">
        <v>1360</v>
      </c>
      <c r="B248" t="s">
        <v>1745</v>
      </c>
      <c r="C248" t="s">
        <v>1746</v>
      </c>
      <c r="D248" t="s">
        <v>2087</v>
      </c>
    </row>
    <row r="249" spans="1:4" x14ac:dyDescent="0.3">
      <c r="A249" t="s">
        <v>1364</v>
      </c>
      <c r="B249" t="s">
        <v>1747</v>
      </c>
      <c r="C249" t="s">
        <v>1748</v>
      </c>
      <c r="D249" t="s">
        <v>2088</v>
      </c>
    </row>
    <row r="250" spans="1:4" ht="20.399999999999999" thickBot="1" x14ac:dyDescent="0.45">
      <c r="A250" s="1" t="s">
        <v>1749</v>
      </c>
    </row>
    <row r="251" spans="1:4" ht="15" thickTop="1" x14ac:dyDescent="0.3">
      <c r="A251" t="s">
        <v>1712</v>
      </c>
      <c r="B251" t="s">
        <v>1750</v>
      </c>
      <c r="C251" t="s">
        <v>1751</v>
      </c>
      <c r="D251" t="s">
        <v>1752</v>
      </c>
    </row>
    <row r="252" spans="1:4" x14ac:dyDescent="0.3">
      <c r="A252" t="s">
        <v>1229</v>
      </c>
      <c r="B252" t="s">
        <v>1753</v>
      </c>
      <c r="C252" t="s">
        <v>1754</v>
      </c>
      <c r="D252" t="s">
        <v>1754</v>
      </c>
    </row>
    <row r="253" spans="1:4" x14ac:dyDescent="0.3">
      <c r="A253" t="s">
        <v>1485</v>
      </c>
      <c r="B253" t="s">
        <v>1755</v>
      </c>
      <c r="C253" t="s">
        <v>1756</v>
      </c>
      <c r="D253" t="s">
        <v>1757</v>
      </c>
    </row>
    <row r="254" spans="1:4" ht="20.399999999999999" thickBot="1" x14ac:dyDescent="0.45">
      <c r="A254" s="1" t="s">
        <v>1758</v>
      </c>
    </row>
    <row r="255" spans="1:4" ht="15" thickTop="1" x14ac:dyDescent="0.3">
      <c r="A255" t="s">
        <v>1289</v>
      </c>
      <c r="B255" t="s">
        <v>1759</v>
      </c>
      <c r="C255" t="s">
        <v>1760</v>
      </c>
      <c r="D255" t="s">
        <v>1761</v>
      </c>
    </row>
    <row r="256" spans="1:4" x14ac:dyDescent="0.3">
      <c r="A256" t="s">
        <v>1302</v>
      </c>
      <c r="B256" t="s">
        <v>1762</v>
      </c>
      <c r="C256" t="s">
        <v>1763</v>
      </c>
      <c r="D256" t="s">
        <v>1764</v>
      </c>
    </row>
    <row r="257" spans="1:4" x14ac:dyDescent="0.3">
      <c r="A257" t="s">
        <v>1204</v>
      </c>
      <c r="B257" t="s">
        <v>1765</v>
      </c>
      <c r="C257" t="s">
        <v>1766</v>
      </c>
      <c r="D257" t="s">
        <v>1767</v>
      </c>
    </row>
    <row r="258" spans="1:4" x14ac:dyDescent="0.3">
      <c r="A258" t="s">
        <v>1229</v>
      </c>
      <c r="B258" t="s">
        <v>1768</v>
      </c>
      <c r="C258" t="s">
        <v>1769</v>
      </c>
      <c r="D258" t="s">
        <v>1770</v>
      </c>
    </row>
    <row r="259" spans="1:4" x14ac:dyDescent="0.3">
      <c r="A259" t="s">
        <v>1330</v>
      </c>
      <c r="B259" t="s">
        <v>1771</v>
      </c>
      <c r="C259" t="s">
        <v>1772</v>
      </c>
      <c r="D259" t="s">
        <v>1773</v>
      </c>
    </row>
    <row r="260" spans="1:4" x14ac:dyDescent="0.3">
      <c r="A260" t="s">
        <v>1243</v>
      </c>
      <c r="B260" t="s">
        <v>1774</v>
      </c>
      <c r="C260" t="s">
        <v>1775</v>
      </c>
      <c r="D260" t="s">
        <v>1776</v>
      </c>
    </row>
    <row r="261" spans="1:4" x14ac:dyDescent="0.3">
      <c r="A261" t="s">
        <v>1208</v>
      </c>
      <c r="B261" t="s">
        <v>1777</v>
      </c>
      <c r="C261" t="s">
        <v>1778</v>
      </c>
      <c r="D261" t="s">
        <v>1779</v>
      </c>
    </row>
    <row r="262" spans="1:4" x14ac:dyDescent="0.3">
      <c r="A262" t="s">
        <v>1188</v>
      </c>
      <c r="B262" t="s">
        <v>1323</v>
      </c>
      <c r="C262" t="s">
        <v>1324</v>
      </c>
      <c r="D262" t="s">
        <v>1780</v>
      </c>
    </row>
    <row r="263" spans="1:4" ht="20.399999999999999" thickBot="1" x14ac:dyDescent="0.45">
      <c r="A263" s="1" t="s">
        <v>1781</v>
      </c>
    </row>
    <row r="264" spans="1:4" ht="15" thickTop="1" x14ac:dyDescent="0.3">
      <c r="A264" t="s">
        <v>1782</v>
      </c>
      <c r="B264" t="s">
        <v>1783</v>
      </c>
      <c r="C264" t="s">
        <v>1784</v>
      </c>
      <c r="D264" t="s">
        <v>1785</v>
      </c>
    </row>
    <row r="265" spans="1:4" x14ac:dyDescent="0.3">
      <c r="A265" t="s">
        <v>1786</v>
      </c>
      <c r="B265" t="s">
        <v>1787</v>
      </c>
      <c r="C265" t="s">
        <v>1788</v>
      </c>
      <c r="D265" t="s">
        <v>1789</v>
      </c>
    </row>
    <row r="266" spans="1:4" x14ac:dyDescent="0.3">
      <c r="A266" t="s">
        <v>1790</v>
      </c>
      <c r="B266" t="s">
        <v>621</v>
      </c>
      <c r="C266" t="s">
        <v>621</v>
      </c>
      <c r="D266" t="s">
        <v>1791</v>
      </c>
    </row>
    <row r="267" spans="1:4" x14ac:dyDescent="0.3">
      <c r="A267" t="s">
        <v>1792</v>
      </c>
      <c r="B267" t="s">
        <v>1793</v>
      </c>
      <c r="C267" t="s">
        <v>1793</v>
      </c>
      <c r="D267" t="s">
        <v>1794</v>
      </c>
    </row>
    <row r="268" spans="1:4" x14ac:dyDescent="0.3">
      <c r="A268" t="s">
        <v>1795</v>
      </c>
      <c r="B268" t="s">
        <v>1796</v>
      </c>
      <c r="C268" t="s">
        <v>1796</v>
      </c>
      <c r="D268" t="s">
        <v>1797</v>
      </c>
    </row>
    <row r="269" spans="1:4" x14ac:dyDescent="0.3">
      <c r="A269" t="s">
        <v>1188</v>
      </c>
      <c r="B269" t="s">
        <v>1323</v>
      </c>
      <c r="C269" t="s">
        <v>1324</v>
      </c>
      <c r="D269" t="s">
        <v>1798</v>
      </c>
    </row>
    <row r="270" spans="1:4" ht="20.399999999999999" thickBot="1" x14ac:dyDescent="0.45">
      <c r="A270" s="1" t="s">
        <v>1799</v>
      </c>
    </row>
    <row r="271" spans="1:4" ht="15" thickTop="1" x14ac:dyDescent="0.3">
      <c r="A271" t="s">
        <v>1395</v>
      </c>
      <c r="B271" t="s">
        <v>1800</v>
      </c>
      <c r="C271" t="s">
        <v>1801</v>
      </c>
      <c r="D271" t="s">
        <v>1802</v>
      </c>
    </row>
    <row r="272" spans="1:4" x14ac:dyDescent="0.3">
      <c r="A272" t="s">
        <v>1803</v>
      </c>
      <c r="B272" t="s">
        <v>1804</v>
      </c>
      <c r="C272" t="s">
        <v>1805</v>
      </c>
      <c r="D272" t="s">
        <v>1806</v>
      </c>
    </row>
    <row r="273" spans="1:4" x14ac:dyDescent="0.3">
      <c r="A273" t="s">
        <v>1807</v>
      </c>
      <c r="B273" t="s">
        <v>1808</v>
      </c>
      <c r="C273" t="s">
        <v>1809</v>
      </c>
      <c r="D273" t="s">
        <v>1810</v>
      </c>
    </row>
    <row r="274" spans="1:4" x14ac:dyDescent="0.3">
      <c r="A274" t="s">
        <v>1188</v>
      </c>
      <c r="B274" t="s">
        <v>1323</v>
      </c>
      <c r="C274" t="s">
        <v>1324</v>
      </c>
      <c r="D274" t="s">
        <v>1811</v>
      </c>
    </row>
    <row r="275" spans="1:4" ht="20.399999999999999" thickBot="1" x14ac:dyDescent="0.45">
      <c r="A275" s="1" t="s">
        <v>1812</v>
      </c>
    </row>
    <row r="276" spans="1:4" ht="15" thickTop="1" x14ac:dyDescent="0.3">
      <c r="A276" t="s">
        <v>1813</v>
      </c>
      <c r="B276" t="s">
        <v>1813</v>
      </c>
      <c r="C276" t="s">
        <v>1813</v>
      </c>
      <c r="D276" t="s">
        <v>1814</v>
      </c>
    </row>
    <row r="277" spans="1:4" x14ac:dyDescent="0.3">
      <c r="A277" t="s">
        <v>1815</v>
      </c>
      <c r="B277" t="s">
        <v>1815</v>
      </c>
      <c r="C277" t="s">
        <v>1816</v>
      </c>
      <c r="D277" t="s">
        <v>1817</v>
      </c>
    </row>
    <row r="278" spans="1:4" x14ac:dyDescent="0.3">
      <c r="A278" t="s">
        <v>1818</v>
      </c>
      <c r="B278" t="s">
        <v>1818</v>
      </c>
      <c r="C278" t="s">
        <v>1819</v>
      </c>
      <c r="D278" t="s">
        <v>1820</v>
      </c>
    </row>
    <row r="279" spans="1:4" x14ac:dyDescent="0.3">
      <c r="A279" t="s">
        <v>1821</v>
      </c>
      <c r="B279" t="s">
        <v>1821</v>
      </c>
      <c r="C279" t="s">
        <v>1822</v>
      </c>
      <c r="D279" t="s">
        <v>1823</v>
      </c>
    </row>
    <row r="280" spans="1:4" ht="20.399999999999999" thickBot="1" x14ac:dyDescent="0.45">
      <c r="A280" s="1" t="s">
        <v>1824</v>
      </c>
    </row>
    <row r="281" spans="1:4" ht="15" thickTop="1" x14ac:dyDescent="0.3">
      <c r="A281" t="s">
        <v>1451</v>
      </c>
      <c r="B281" t="s">
        <v>1825</v>
      </c>
      <c r="C281" t="s">
        <v>1826</v>
      </c>
      <c r="D281" t="s">
        <v>1827</v>
      </c>
    </row>
    <row r="282" spans="1:4" x14ac:dyDescent="0.3">
      <c r="A282" t="s">
        <v>1330</v>
      </c>
      <c r="B282" t="s">
        <v>1828</v>
      </c>
      <c r="C282" t="s">
        <v>1829</v>
      </c>
      <c r="D282" t="s">
        <v>1830</v>
      </c>
    </row>
    <row r="283" spans="1:4" ht="20.399999999999999" thickBot="1" x14ac:dyDescent="0.45">
      <c r="A283" s="1" t="s">
        <v>2049</v>
      </c>
    </row>
    <row r="284" spans="1:4" ht="15" thickTop="1" x14ac:dyDescent="0.3">
      <c r="A284" t="s">
        <v>1451</v>
      </c>
      <c r="B284" t="s">
        <v>1831</v>
      </c>
      <c r="C284" t="s">
        <v>1832</v>
      </c>
      <c r="D284" t="s">
        <v>2050</v>
      </c>
    </row>
    <row r="285" spans="1:4" x14ac:dyDescent="0.3">
      <c r="A285" t="s">
        <v>1330</v>
      </c>
      <c r="B285" t="s">
        <v>1833</v>
      </c>
      <c r="C285" t="s">
        <v>1834</v>
      </c>
      <c r="D285" t="s">
        <v>2051</v>
      </c>
    </row>
    <row r="286" spans="1:4" ht="20.399999999999999" thickBot="1" x14ac:dyDescent="0.45">
      <c r="A286" s="1" t="s">
        <v>1835</v>
      </c>
    </row>
    <row r="287" spans="1:4" ht="15" thickTop="1" x14ac:dyDescent="0.3">
      <c r="A287" t="s">
        <v>1836</v>
      </c>
      <c r="B287" t="s">
        <v>1837</v>
      </c>
      <c r="C287" t="s">
        <v>1837</v>
      </c>
      <c r="D287" t="s">
        <v>1838</v>
      </c>
    </row>
    <row r="288" spans="1:4" x14ac:dyDescent="0.3">
      <c r="A288" t="s">
        <v>1839</v>
      </c>
      <c r="B288" t="s">
        <v>1840</v>
      </c>
      <c r="C288" t="s">
        <v>1841</v>
      </c>
      <c r="D288" t="s">
        <v>1842</v>
      </c>
    </row>
    <row r="289" spans="1:4" x14ac:dyDescent="0.3">
      <c r="A289" t="s">
        <v>1843</v>
      </c>
      <c r="B289" t="s">
        <v>1844</v>
      </c>
      <c r="C289" t="s">
        <v>1845</v>
      </c>
      <c r="D289" t="s">
        <v>1846</v>
      </c>
    </row>
    <row r="290" spans="1:4" x14ac:dyDescent="0.3">
      <c r="A290" t="s">
        <v>1847</v>
      </c>
      <c r="B290" t="s">
        <v>1848</v>
      </c>
      <c r="C290" t="s">
        <v>1849</v>
      </c>
      <c r="D290" t="s">
        <v>1850</v>
      </c>
    </row>
    <row r="291" spans="1:4" x14ac:dyDescent="0.3">
      <c r="A291" t="s">
        <v>1851</v>
      </c>
      <c r="B291" t="s">
        <v>1852</v>
      </c>
      <c r="C291" t="s">
        <v>1853</v>
      </c>
      <c r="D291" t="s">
        <v>1854</v>
      </c>
    </row>
    <row r="292" spans="1:4" x14ac:dyDescent="0.3">
      <c r="A292" t="s">
        <v>571</v>
      </c>
      <c r="B292" t="s">
        <v>1855</v>
      </c>
      <c r="C292" t="s">
        <v>1855</v>
      </c>
      <c r="D292" t="s">
        <v>1856</v>
      </c>
    </row>
    <row r="293" spans="1:4" x14ac:dyDescent="0.3">
      <c r="A293" t="s">
        <v>1188</v>
      </c>
      <c r="B293" t="s">
        <v>1323</v>
      </c>
      <c r="C293" t="s">
        <v>1324</v>
      </c>
      <c r="D293" t="s">
        <v>1857</v>
      </c>
    </row>
    <row r="294" spans="1:4" ht="20.399999999999999" thickBot="1" x14ac:dyDescent="0.45">
      <c r="A294" s="1" t="s">
        <v>1858</v>
      </c>
    </row>
    <row r="295" spans="1:4" ht="15" thickTop="1" x14ac:dyDescent="0.3">
      <c r="A295" t="s">
        <v>1859</v>
      </c>
      <c r="B295" t="s">
        <v>1860</v>
      </c>
      <c r="C295" t="s">
        <v>1861</v>
      </c>
      <c r="D295" t="s">
        <v>1862</v>
      </c>
    </row>
    <row r="296" spans="1:4" x14ac:dyDescent="0.3">
      <c r="A296" t="s">
        <v>1863</v>
      </c>
      <c r="B296" t="s">
        <v>1864</v>
      </c>
      <c r="C296" t="s">
        <v>1865</v>
      </c>
      <c r="D296" t="s">
        <v>1866</v>
      </c>
    </row>
    <row r="297" spans="1:4" x14ac:dyDescent="0.3">
      <c r="A297" t="s">
        <v>1188</v>
      </c>
      <c r="B297" t="s">
        <v>1323</v>
      </c>
      <c r="C297" t="s">
        <v>1324</v>
      </c>
      <c r="D297" t="s">
        <v>1867</v>
      </c>
    </row>
    <row r="298" spans="1:4" ht="20.399999999999999" thickBot="1" x14ac:dyDescent="0.45">
      <c r="A298" s="1" t="s">
        <v>2075</v>
      </c>
    </row>
    <row r="299" spans="1:4" ht="15" thickTop="1" x14ac:dyDescent="0.3">
      <c r="A299" t="s">
        <v>1243</v>
      </c>
      <c r="B299" t="s">
        <v>1868</v>
      </c>
      <c r="C299" t="s">
        <v>1869</v>
      </c>
      <c r="D299" t="s">
        <v>2076</v>
      </c>
    </row>
    <row r="300" spans="1:4" x14ac:dyDescent="0.3">
      <c r="A300" t="s">
        <v>1188</v>
      </c>
      <c r="B300" t="s">
        <v>1323</v>
      </c>
      <c r="C300" t="s">
        <v>1324</v>
      </c>
      <c r="D300" t="s">
        <v>2077</v>
      </c>
    </row>
    <row r="301" spans="1:4" ht="20.399999999999999" thickBot="1" x14ac:dyDescent="0.45">
      <c r="A301" s="1" t="s">
        <v>1870</v>
      </c>
    </row>
    <row r="302" spans="1:4" ht="15" thickTop="1" x14ac:dyDescent="0.3">
      <c r="A302" t="s">
        <v>1289</v>
      </c>
      <c r="B302" t="s">
        <v>1871</v>
      </c>
      <c r="C302" t="s">
        <v>1872</v>
      </c>
      <c r="D302" t="s">
        <v>1873</v>
      </c>
    </row>
    <row r="303" spans="1:4" x14ac:dyDescent="0.3">
      <c r="A303" t="s">
        <v>1035</v>
      </c>
      <c r="B303" t="s">
        <v>1874</v>
      </c>
      <c r="C303" t="s">
        <v>1875</v>
      </c>
      <c r="D303" t="s">
        <v>1876</v>
      </c>
    </row>
    <row r="304" spans="1:4" x14ac:dyDescent="0.3">
      <c r="A304" t="s">
        <v>1296</v>
      </c>
      <c r="B304" t="s">
        <v>1877</v>
      </c>
      <c r="C304" t="s">
        <v>1878</v>
      </c>
      <c r="D304" t="s">
        <v>1879</v>
      </c>
    </row>
    <row r="305" spans="1:4" x14ac:dyDescent="0.3">
      <c r="A305" t="s">
        <v>1200</v>
      </c>
      <c r="B305" t="s">
        <v>1880</v>
      </c>
      <c r="C305" t="s">
        <v>1881</v>
      </c>
      <c r="D305" t="s">
        <v>1882</v>
      </c>
    </row>
    <row r="306" spans="1:4" x14ac:dyDescent="0.3">
      <c r="A306" t="s">
        <v>1188</v>
      </c>
      <c r="B306" t="s">
        <v>1323</v>
      </c>
      <c r="C306" t="s">
        <v>1324</v>
      </c>
      <c r="D306" t="s">
        <v>1883</v>
      </c>
    </row>
    <row r="307" spans="1:4" ht="20.399999999999999" thickBot="1" x14ac:dyDescent="0.45">
      <c r="A307" s="1" t="s">
        <v>1884</v>
      </c>
    </row>
    <row r="308" spans="1:4" ht="15" thickTop="1" x14ac:dyDescent="0.3">
      <c r="A308" t="s">
        <v>1289</v>
      </c>
      <c r="B308" t="s">
        <v>1885</v>
      </c>
      <c r="C308" t="s">
        <v>1886</v>
      </c>
      <c r="D308" t="s">
        <v>1887</v>
      </c>
    </row>
    <row r="309" spans="1:4" x14ac:dyDescent="0.3">
      <c r="A309" t="s">
        <v>1035</v>
      </c>
      <c r="B309" t="s">
        <v>1888</v>
      </c>
      <c r="C309" t="s">
        <v>1889</v>
      </c>
      <c r="D309" t="s">
        <v>1890</v>
      </c>
    </row>
    <row r="310" spans="1:4" x14ac:dyDescent="0.3">
      <c r="A310" t="s">
        <v>1188</v>
      </c>
      <c r="B310" t="s">
        <v>1323</v>
      </c>
      <c r="C310" t="s">
        <v>1324</v>
      </c>
      <c r="D310" t="s">
        <v>1891</v>
      </c>
    </row>
    <row r="311" spans="1:4" ht="20.399999999999999" thickBot="1" x14ac:dyDescent="0.45">
      <c r="A311" s="1" t="s">
        <v>1892</v>
      </c>
    </row>
    <row r="312" spans="1:4" ht="15" thickTop="1" x14ac:dyDescent="0.3">
      <c r="A312" t="s">
        <v>1289</v>
      </c>
      <c r="B312" t="s">
        <v>1893</v>
      </c>
      <c r="C312" t="s">
        <v>1894</v>
      </c>
      <c r="D312" t="s">
        <v>1895</v>
      </c>
    </row>
    <row r="313" spans="1:4" x14ac:dyDescent="0.3">
      <c r="A313" t="s">
        <v>1035</v>
      </c>
      <c r="B313" t="s">
        <v>1896</v>
      </c>
      <c r="C313" t="s">
        <v>1897</v>
      </c>
      <c r="D313" t="s">
        <v>1898</v>
      </c>
    </row>
    <row r="314" spans="1:4" x14ac:dyDescent="0.3">
      <c r="A314" t="s">
        <v>1296</v>
      </c>
      <c r="B314" t="s">
        <v>1899</v>
      </c>
      <c r="C314" t="s">
        <v>1900</v>
      </c>
      <c r="D314" t="s">
        <v>1900</v>
      </c>
    </row>
    <row r="315" spans="1:4" x14ac:dyDescent="0.3">
      <c r="A315" t="s">
        <v>1200</v>
      </c>
      <c r="B315" t="s">
        <v>1901</v>
      </c>
      <c r="C315" t="s">
        <v>1902</v>
      </c>
      <c r="D315" t="s">
        <v>1903</v>
      </c>
    </row>
    <row r="316" spans="1:4" x14ac:dyDescent="0.3">
      <c r="A316" t="s">
        <v>1302</v>
      </c>
      <c r="B316" t="s">
        <v>1904</v>
      </c>
      <c r="C316" t="s">
        <v>1905</v>
      </c>
      <c r="D316" t="s">
        <v>1906</v>
      </c>
    </row>
    <row r="317" spans="1:4" x14ac:dyDescent="0.3">
      <c r="A317" t="s">
        <v>1188</v>
      </c>
      <c r="B317" t="s">
        <v>1323</v>
      </c>
      <c r="C317" t="s">
        <v>1324</v>
      </c>
      <c r="D317" t="s">
        <v>1907</v>
      </c>
    </row>
    <row r="318" spans="1:4" ht="20.399999999999999" thickBot="1" x14ac:dyDescent="0.45">
      <c r="A318" s="1" t="s">
        <v>2082</v>
      </c>
    </row>
    <row r="319" spans="1:4" ht="15" thickTop="1" x14ac:dyDescent="0.3">
      <c r="A319" t="s">
        <v>1289</v>
      </c>
      <c r="B319" t="s">
        <v>1908</v>
      </c>
      <c r="C319" t="s">
        <v>1909</v>
      </c>
      <c r="D319" t="s">
        <v>1910</v>
      </c>
    </row>
    <row r="320" spans="1:4" x14ac:dyDescent="0.3">
      <c r="A320" t="s">
        <v>1035</v>
      </c>
      <c r="B320" t="s">
        <v>1911</v>
      </c>
      <c r="C320" t="s">
        <v>1912</v>
      </c>
      <c r="D320" t="s">
        <v>1913</v>
      </c>
    </row>
    <row r="321" spans="1:4" x14ac:dyDescent="0.3">
      <c r="A321" t="s">
        <v>1296</v>
      </c>
      <c r="B321" t="s">
        <v>1914</v>
      </c>
      <c r="C321" t="s">
        <v>1915</v>
      </c>
      <c r="D321" t="s">
        <v>1916</v>
      </c>
    </row>
    <row r="322" spans="1:4" x14ac:dyDescent="0.3">
      <c r="A322" t="s">
        <v>1200</v>
      </c>
      <c r="B322" t="s">
        <v>1917</v>
      </c>
      <c r="C322" t="s">
        <v>1918</v>
      </c>
      <c r="D322" t="s">
        <v>1919</v>
      </c>
    </row>
    <row r="323" spans="1:4" x14ac:dyDescent="0.3">
      <c r="A323" t="s">
        <v>1302</v>
      </c>
      <c r="B323" t="s">
        <v>1920</v>
      </c>
      <c r="C323" t="s">
        <v>1921</v>
      </c>
      <c r="D323" t="s">
        <v>1922</v>
      </c>
    </row>
    <row r="324" spans="1:4" x14ac:dyDescent="0.3">
      <c r="A324" t="s">
        <v>1219</v>
      </c>
      <c r="B324" t="s">
        <v>1923</v>
      </c>
      <c r="C324" t="s">
        <v>1924</v>
      </c>
      <c r="D324" t="s">
        <v>1925</v>
      </c>
    </row>
    <row r="325" spans="1:4" x14ac:dyDescent="0.3">
      <c r="A325" t="s">
        <v>1204</v>
      </c>
      <c r="B325" t="s">
        <v>1926</v>
      </c>
      <c r="C325" t="s">
        <v>1927</v>
      </c>
      <c r="D325" t="s">
        <v>1928</v>
      </c>
    </row>
    <row r="326" spans="1:4" x14ac:dyDescent="0.3">
      <c r="A326" t="s">
        <v>1712</v>
      </c>
      <c r="B326" t="s">
        <v>1929</v>
      </c>
      <c r="C326" t="s">
        <v>1930</v>
      </c>
      <c r="D326" t="s">
        <v>1931</v>
      </c>
    </row>
    <row r="327" spans="1:4" x14ac:dyDescent="0.3">
      <c r="A327" t="s">
        <v>1356</v>
      </c>
      <c r="B327" t="s">
        <v>1932</v>
      </c>
      <c r="C327" t="s">
        <v>1933</v>
      </c>
      <c r="D327" t="s">
        <v>1934</v>
      </c>
    </row>
    <row r="328" spans="1:4" x14ac:dyDescent="0.3">
      <c r="A328" t="s">
        <v>1451</v>
      </c>
      <c r="B328" t="s">
        <v>1935</v>
      </c>
      <c r="C328" t="s">
        <v>1936</v>
      </c>
      <c r="D328" t="s">
        <v>1937</v>
      </c>
    </row>
    <row r="329" spans="1:4" x14ac:dyDescent="0.3">
      <c r="A329" t="s">
        <v>1229</v>
      </c>
      <c r="B329" t="s">
        <v>1938</v>
      </c>
      <c r="C329" t="s">
        <v>1939</v>
      </c>
      <c r="D329" t="s">
        <v>1940</v>
      </c>
    </row>
    <row r="330" spans="1:4" x14ac:dyDescent="0.3">
      <c r="A330" t="s">
        <v>1485</v>
      </c>
      <c r="B330" t="s">
        <v>1941</v>
      </c>
      <c r="C330" t="s">
        <v>1942</v>
      </c>
      <c r="D330" t="s">
        <v>1943</v>
      </c>
    </row>
    <row r="331" spans="1:4" x14ac:dyDescent="0.3">
      <c r="A331" t="s">
        <v>41</v>
      </c>
      <c r="B331" t="s">
        <v>1944</v>
      </c>
      <c r="C331" t="s">
        <v>1945</v>
      </c>
      <c r="D331" t="s">
        <v>1946</v>
      </c>
    </row>
    <row r="332" spans="1:4" x14ac:dyDescent="0.3">
      <c r="A332" t="s">
        <v>1330</v>
      </c>
      <c r="B332" t="s">
        <v>1947</v>
      </c>
      <c r="C332" t="s">
        <v>1948</v>
      </c>
      <c r="D332" t="s">
        <v>1949</v>
      </c>
    </row>
    <row r="333" spans="1:4" x14ac:dyDescent="0.3">
      <c r="A333" t="s">
        <v>1950</v>
      </c>
      <c r="B333" t="s">
        <v>1951</v>
      </c>
      <c r="C333" t="s">
        <v>1952</v>
      </c>
      <c r="D333" t="s">
        <v>1953</v>
      </c>
    </row>
    <row r="334" spans="1:4" x14ac:dyDescent="0.3">
      <c r="A334" t="s">
        <v>1188</v>
      </c>
      <c r="B334" t="s">
        <v>1954</v>
      </c>
      <c r="C334" t="s">
        <v>1955</v>
      </c>
      <c r="D334" t="s">
        <v>1956</v>
      </c>
    </row>
    <row r="335" spans="1:4" ht="20.399999999999999" thickBot="1" x14ac:dyDescent="0.45">
      <c r="A335" s="1" t="s">
        <v>2081</v>
      </c>
    </row>
    <row r="336" spans="1:4" ht="15" thickTop="1" x14ac:dyDescent="0.3">
      <c r="A336" t="s">
        <v>1289</v>
      </c>
      <c r="B336" t="s">
        <v>1957</v>
      </c>
      <c r="C336" t="s">
        <v>1958</v>
      </c>
      <c r="D336" t="s">
        <v>1959</v>
      </c>
    </row>
    <row r="337" spans="1:4" x14ac:dyDescent="0.3">
      <c r="A337" t="s">
        <v>1035</v>
      </c>
      <c r="B337" t="s">
        <v>1941</v>
      </c>
      <c r="C337" t="s">
        <v>1942</v>
      </c>
      <c r="D337" t="s">
        <v>1960</v>
      </c>
    </row>
    <row r="338" spans="1:4" x14ac:dyDescent="0.3">
      <c r="A338" t="s">
        <v>1296</v>
      </c>
      <c r="B338" t="s">
        <v>1944</v>
      </c>
      <c r="C338" t="s">
        <v>1945</v>
      </c>
      <c r="D338" t="s">
        <v>1961</v>
      </c>
    </row>
    <row r="339" spans="1:4" x14ac:dyDescent="0.3">
      <c r="A339" t="s">
        <v>1200</v>
      </c>
      <c r="B339" t="s">
        <v>1962</v>
      </c>
      <c r="C339" t="s">
        <v>1963</v>
      </c>
      <c r="D339" t="s">
        <v>1964</v>
      </c>
    </row>
    <row r="340" spans="1:4" x14ac:dyDescent="0.3">
      <c r="A340" t="s">
        <v>1302</v>
      </c>
      <c r="B340" t="s">
        <v>1947</v>
      </c>
      <c r="C340" t="s">
        <v>1948</v>
      </c>
      <c r="D340" t="s">
        <v>1965</v>
      </c>
    </row>
    <row r="341" spans="1:4" x14ac:dyDescent="0.3">
      <c r="A341" t="s">
        <v>1219</v>
      </c>
      <c r="B341" t="s">
        <v>1966</v>
      </c>
      <c r="C341" t="s">
        <v>1967</v>
      </c>
      <c r="D341" t="s">
        <v>1968</v>
      </c>
    </row>
    <row r="342" spans="1:4" x14ac:dyDescent="0.3">
      <c r="A342" t="s">
        <v>1204</v>
      </c>
      <c r="B342" t="s">
        <v>1969</v>
      </c>
      <c r="C342" t="s">
        <v>1970</v>
      </c>
      <c r="D342" t="s">
        <v>1971</v>
      </c>
    </row>
    <row r="343" spans="1:4" x14ac:dyDescent="0.3">
      <c r="A343" t="s">
        <v>1712</v>
      </c>
      <c r="B343" t="s">
        <v>1972</v>
      </c>
      <c r="C343" t="s">
        <v>1973</v>
      </c>
      <c r="D343" t="s">
        <v>1974</v>
      </c>
    </row>
    <row r="344" spans="1:4" x14ac:dyDescent="0.3">
      <c r="A344" t="s">
        <v>1188</v>
      </c>
      <c r="B344" t="s">
        <v>1954</v>
      </c>
      <c r="C344" t="s">
        <v>1955</v>
      </c>
      <c r="D344" t="s">
        <v>1975</v>
      </c>
    </row>
    <row r="345" spans="1:4" ht="20.399999999999999" thickBot="1" x14ac:dyDescent="0.45">
      <c r="A345" s="1" t="s">
        <v>1976</v>
      </c>
    </row>
    <row r="346" spans="1:4" ht="15" thickTop="1" x14ac:dyDescent="0.3">
      <c r="A346" t="s">
        <v>1035</v>
      </c>
      <c r="B346" t="s">
        <v>1977</v>
      </c>
      <c r="C346" t="s">
        <v>1978</v>
      </c>
      <c r="D346" t="s">
        <v>1979</v>
      </c>
    </row>
    <row r="347" spans="1:4" x14ac:dyDescent="0.3">
      <c r="A347" t="s">
        <v>1302</v>
      </c>
      <c r="B347" t="s">
        <v>1980</v>
      </c>
      <c r="C347" t="s">
        <v>1981</v>
      </c>
      <c r="D347" t="s">
        <v>1982</v>
      </c>
    </row>
    <row r="348" spans="1:4" x14ac:dyDescent="0.3">
      <c r="A348" t="s">
        <v>1983</v>
      </c>
      <c r="B348" t="s">
        <v>1984</v>
      </c>
      <c r="C348" t="s">
        <v>1985</v>
      </c>
      <c r="D348" t="s">
        <v>1986</v>
      </c>
    </row>
    <row r="349" spans="1:4" x14ac:dyDescent="0.3">
      <c r="A349" t="s">
        <v>1987</v>
      </c>
      <c r="B349" t="s">
        <v>1988</v>
      </c>
      <c r="C349" t="s">
        <v>1989</v>
      </c>
      <c r="D349" t="s">
        <v>1990</v>
      </c>
    </row>
    <row r="350" spans="1:4" ht="20.399999999999999" thickBot="1" x14ac:dyDescent="0.45">
      <c r="A350" s="1" t="s">
        <v>1991</v>
      </c>
    </row>
    <row r="351" spans="1:4" ht="15" thickTop="1" x14ac:dyDescent="0.3">
      <c r="A351" t="s">
        <v>1035</v>
      </c>
      <c r="B351" t="s">
        <v>1471</v>
      </c>
      <c r="C351" t="s">
        <v>1472</v>
      </c>
      <c r="D351" t="s">
        <v>1992</v>
      </c>
    </row>
    <row r="352" spans="1:4" x14ac:dyDescent="0.3">
      <c r="A352" t="s">
        <v>1200</v>
      </c>
      <c r="B352" t="s">
        <v>1993</v>
      </c>
      <c r="C352" t="s">
        <v>1994</v>
      </c>
      <c r="D352" t="s">
        <v>1995</v>
      </c>
    </row>
    <row r="353" spans="1:4" x14ac:dyDescent="0.3">
      <c r="A353" t="s">
        <v>1204</v>
      </c>
      <c r="B353" t="s">
        <v>1715</v>
      </c>
      <c r="C353" t="s">
        <v>1716</v>
      </c>
      <c r="D353" t="s">
        <v>1996</v>
      </c>
    </row>
    <row r="354" spans="1:4" x14ac:dyDescent="0.3">
      <c r="A354" t="s">
        <v>1712</v>
      </c>
      <c r="B354" t="s">
        <v>1997</v>
      </c>
      <c r="C354" t="s">
        <v>1998</v>
      </c>
      <c r="D354" t="s">
        <v>2071</v>
      </c>
    </row>
    <row r="355" spans="1:4" ht="20.399999999999999" thickBot="1" x14ac:dyDescent="0.45">
      <c r="A355" s="1" t="s">
        <v>1999</v>
      </c>
    </row>
    <row r="356" spans="1:4" ht="15" thickTop="1" x14ac:dyDescent="0.3">
      <c r="A356" t="s">
        <v>2000</v>
      </c>
      <c r="B356" t="s">
        <v>2001</v>
      </c>
      <c r="C356" t="s">
        <v>2002</v>
      </c>
      <c r="D356" t="s">
        <v>2003</v>
      </c>
    </row>
    <row r="357" spans="1:4" x14ac:dyDescent="0.3">
      <c r="A357" t="s">
        <v>2004</v>
      </c>
      <c r="B357" t="s">
        <v>2005</v>
      </c>
      <c r="C357" t="s">
        <v>2006</v>
      </c>
      <c r="D357" t="s">
        <v>2007</v>
      </c>
    </row>
    <row r="358" spans="1:4" x14ac:dyDescent="0.3">
      <c r="A358" t="s">
        <v>1485</v>
      </c>
      <c r="B358" t="s">
        <v>2008</v>
      </c>
      <c r="C358" t="s">
        <v>2009</v>
      </c>
      <c r="D358" t="s">
        <v>2010</v>
      </c>
    </row>
    <row r="359" spans="1:4" x14ac:dyDescent="0.3">
      <c r="A359" t="s">
        <v>2011</v>
      </c>
      <c r="B359" t="s">
        <v>14</v>
      </c>
      <c r="C359" t="s">
        <v>2012</v>
      </c>
      <c r="D359" t="s">
        <v>2013</v>
      </c>
    </row>
    <row r="360" spans="1:4" x14ac:dyDescent="0.3">
      <c r="A360" t="s">
        <v>2014</v>
      </c>
      <c r="B360" t="s">
        <v>2015</v>
      </c>
      <c r="C360" t="s">
        <v>2015</v>
      </c>
      <c r="D360" t="s">
        <v>2016</v>
      </c>
    </row>
    <row r="361" spans="1:4" ht="20.399999999999999" thickBot="1" x14ac:dyDescent="0.45">
      <c r="A361" s="1" t="s">
        <v>2017</v>
      </c>
    </row>
    <row r="362" spans="1:4" ht="15" thickTop="1" x14ac:dyDescent="0.3">
      <c r="A362" t="s">
        <v>2018</v>
      </c>
      <c r="B362" t="s">
        <v>2019</v>
      </c>
      <c r="C362" t="s">
        <v>2020</v>
      </c>
      <c r="D362" t="s">
        <v>2021</v>
      </c>
    </row>
    <row r="363" spans="1:4" x14ac:dyDescent="0.3">
      <c r="A363" t="s">
        <v>2022</v>
      </c>
      <c r="B363" t="s">
        <v>2023</v>
      </c>
      <c r="C363" t="s">
        <v>2024</v>
      </c>
      <c r="D363" t="s">
        <v>2025</v>
      </c>
    </row>
    <row r="364" spans="1:4" ht="20.399999999999999" thickBot="1" x14ac:dyDescent="0.45">
      <c r="A364" s="1" t="s">
        <v>2026</v>
      </c>
    </row>
    <row r="365" spans="1:4" ht="15" thickTop="1" x14ac:dyDescent="0.3">
      <c r="A365" t="s">
        <v>2027</v>
      </c>
      <c r="B365" t="s">
        <v>2028</v>
      </c>
      <c r="C365" t="s">
        <v>2029</v>
      </c>
      <c r="D365" t="s">
        <v>2030</v>
      </c>
    </row>
    <row r="366" spans="1:4" x14ac:dyDescent="0.3">
      <c r="A366" t="s">
        <v>2031</v>
      </c>
      <c r="B366" t="s">
        <v>2032</v>
      </c>
      <c r="C366" t="s">
        <v>2033</v>
      </c>
      <c r="D366" t="s">
        <v>2034</v>
      </c>
    </row>
    <row r="367" spans="1:4" ht="20.399999999999999" thickBot="1" x14ac:dyDescent="0.45">
      <c r="A367" s="1" t="s">
        <v>2035</v>
      </c>
    </row>
    <row r="368" spans="1:4" ht="15" thickTop="1" x14ac:dyDescent="0.3">
      <c r="A368" t="s">
        <v>1035</v>
      </c>
      <c r="B368" t="s">
        <v>2036</v>
      </c>
      <c r="C368" t="s">
        <v>2037</v>
      </c>
      <c r="D368" t="s">
        <v>2038</v>
      </c>
    </row>
    <row r="369" spans="1:4" x14ac:dyDescent="0.3">
      <c r="A369" t="s">
        <v>41</v>
      </c>
      <c r="B369" t="s">
        <v>2039</v>
      </c>
      <c r="C369" t="s">
        <v>2040</v>
      </c>
      <c r="D369" t="s">
        <v>2041</v>
      </c>
    </row>
    <row r="370" spans="1:4" ht="20.399999999999999" thickBot="1" x14ac:dyDescent="0.45">
      <c r="A370" s="1" t="s">
        <v>2042</v>
      </c>
    </row>
    <row r="371" spans="1:4" ht="15" thickTop="1" x14ac:dyDescent="0.3">
      <c r="A371" t="s">
        <v>1330</v>
      </c>
      <c r="B371" t="s">
        <v>2043</v>
      </c>
      <c r="C371" t="s">
        <v>2044</v>
      </c>
      <c r="D371" t="s">
        <v>2045</v>
      </c>
    </row>
    <row r="372" spans="1:4" x14ac:dyDescent="0.3">
      <c r="A372" t="s">
        <v>1376</v>
      </c>
      <c r="B372" t="s">
        <v>157</v>
      </c>
      <c r="C372" t="s">
        <v>640</v>
      </c>
      <c r="D372" t="s">
        <v>2046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AF0B-FBCE-4323-8690-E43F3A09D864}">
  <dimension ref="A1:Q349"/>
  <sheetViews>
    <sheetView workbookViewId="0">
      <pane ySplit="1" topLeftCell="A132" activePane="bottomLeft" state="frozen"/>
      <selection pane="bottomLeft" activeCell="B338" sqref="B338"/>
    </sheetView>
  </sheetViews>
  <sheetFormatPr defaultRowHeight="14.4" x14ac:dyDescent="0.3"/>
  <cols>
    <col min="1" max="1" width="9.88671875" bestFit="1" customWidth="1"/>
    <col min="2" max="2" width="40.88671875" bestFit="1" customWidth="1"/>
    <col min="3" max="3" width="5.5546875" bestFit="1" customWidth="1"/>
    <col min="4" max="4" width="64.109375" bestFit="1" customWidth="1"/>
    <col min="5" max="5" width="31.33203125" bestFit="1" customWidth="1"/>
    <col min="6" max="6" width="19.88671875" bestFit="1" customWidth="1"/>
    <col min="7" max="7" width="5.5546875" bestFit="1" customWidth="1"/>
    <col min="8" max="8" width="4" bestFit="1" customWidth="1"/>
    <col min="10" max="10" width="4" bestFit="1" customWidth="1"/>
    <col min="11" max="11" width="5.5546875" bestFit="1" customWidth="1"/>
    <col min="12" max="12" width="10.6640625" bestFit="1" customWidth="1"/>
    <col min="17" max="17" width="4.109375" bestFit="1" customWidth="1"/>
  </cols>
  <sheetData>
    <row r="1" spans="1:17" x14ac:dyDescent="0.3">
      <c r="A1" s="2" t="s">
        <v>0</v>
      </c>
      <c r="B1" s="2" t="s">
        <v>1</v>
      </c>
      <c r="C1" s="2" t="s">
        <v>171</v>
      </c>
      <c r="D1" s="2" t="s">
        <v>172</v>
      </c>
      <c r="E1" s="2" t="s">
        <v>173</v>
      </c>
      <c r="F1" s="2" t="s">
        <v>12</v>
      </c>
    </row>
    <row r="2" spans="1:17" ht="20.399999999999999" thickBot="1" x14ac:dyDescent="0.45">
      <c r="A2" s="1" t="s">
        <v>562</v>
      </c>
      <c r="B2" s="1" t="s">
        <v>563</v>
      </c>
    </row>
    <row r="3" spans="1:17" ht="15" thickTop="1" x14ac:dyDescent="0.3">
      <c r="A3" t="s">
        <v>2</v>
      </c>
      <c r="B3" t="s">
        <v>174</v>
      </c>
      <c r="E3" t="s">
        <v>175</v>
      </c>
      <c r="Q3" t="s">
        <v>175</v>
      </c>
    </row>
    <row r="4" spans="1:17" x14ac:dyDescent="0.3">
      <c r="A4" t="s">
        <v>3</v>
      </c>
      <c r="B4" t="s">
        <v>4</v>
      </c>
      <c r="E4" t="s">
        <v>175</v>
      </c>
      <c r="Q4" t="s">
        <v>176</v>
      </c>
    </row>
    <row r="7" spans="1:17" ht="20.399999999999999" thickBot="1" x14ac:dyDescent="0.45">
      <c r="A7" s="1" t="s">
        <v>177</v>
      </c>
      <c r="B7" s="1" t="s">
        <v>178</v>
      </c>
    </row>
    <row r="8" spans="1:17" ht="15" thickTop="1" x14ac:dyDescent="0.3">
      <c r="A8" t="s">
        <v>44</v>
      </c>
      <c r="B8" t="s">
        <v>45</v>
      </c>
      <c r="E8" t="s">
        <v>179</v>
      </c>
    </row>
    <row r="9" spans="1:17" x14ac:dyDescent="0.3">
      <c r="A9" t="s">
        <v>46</v>
      </c>
      <c r="B9" t="s">
        <v>180</v>
      </c>
      <c r="E9" t="s">
        <v>181</v>
      </c>
    </row>
    <row r="10" spans="1:17" x14ac:dyDescent="0.3">
      <c r="A10" t="s">
        <v>47</v>
      </c>
      <c r="B10" t="s">
        <v>182</v>
      </c>
      <c r="E10" t="s">
        <v>181</v>
      </c>
    </row>
    <row r="11" spans="1:17" x14ac:dyDescent="0.3">
      <c r="A11" t="s">
        <v>49</v>
      </c>
      <c r="B11" t="s">
        <v>183</v>
      </c>
      <c r="E11" t="s">
        <v>181</v>
      </c>
    </row>
    <row r="12" spans="1:17" x14ac:dyDescent="0.3">
      <c r="A12" t="s">
        <v>50</v>
      </c>
      <c r="B12" t="s">
        <v>184</v>
      </c>
      <c r="E12" t="s">
        <v>179</v>
      </c>
    </row>
    <row r="13" spans="1:17" x14ac:dyDescent="0.3">
      <c r="A13" t="s">
        <v>51</v>
      </c>
      <c r="B13" t="s">
        <v>185</v>
      </c>
      <c r="E13" t="s">
        <v>176</v>
      </c>
      <c r="F13">
        <v>128</v>
      </c>
    </row>
    <row r="14" spans="1:17" x14ac:dyDescent="0.3">
      <c r="A14" t="s">
        <v>52</v>
      </c>
      <c r="B14" t="s">
        <v>186</v>
      </c>
      <c r="D14" t="s">
        <v>187</v>
      </c>
      <c r="E14" t="s">
        <v>188</v>
      </c>
    </row>
    <row r="15" spans="1:17" x14ac:dyDescent="0.3">
      <c r="A15" t="s">
        <v>54</v>
      </c>
      <c r="B15" t="s">
        <v>189</v>
      </c>
      <c r="E15" t="s">
        <v>176</v>
      </c>
    </row>
    <row r="16" spans="1:17" x14ac:dyDescent="0.3">
      <c r="A16" t="s">
        <v>55</v>
      </c>
      <c r="B16" t="s">
        <v>190</v>
      </c>
      <c r="E16" t="s">
        <v>191</v>
      </c>
    </row>
    <row r="17" spans="1:6" x14ac:dyDescent="0.3">
      <c r="A17" t="s">
        <v>56</v>
      </c>
      <c r="B17" t="s">
        <v>192</v>
      </c>
      <c r="E17" t="s">
        <v>191</v>
      </c>
      <c r="F17">
        <v>116</v>
      </c>
    </row>
    <row r="18" spans="1:6" x14ac:dyDescent="0.3">
      <c r="A18" t="s">
        <v>58</v>
      </c>
      <c r="B18" t="s">
        <v>59</v>
      </c>
      <c r="E18" t="s">
        <v>179</v>
      </c>
    </row>
    <row r="19" spans="1:6" x14ac:dyDescent="0.3">
      <c r="A19" t="s">
        <v>60</v>
      </c>
      <c r="B19" t="s">
        <v>193</v>
      </c>
      <c r="E19" t="s">
        <v>179</v>
      </c>
    </row>
    <row r="20" spans="1:6" x14ac:dyDescent="0.3">
      <c r="A20" t="s">
        <v>61</v>
      </c>
      <c r="B20" t="s">
        <v>62</v>
      </c>
      <c r="E20" t="s">
        <v>194</v>
      </c>
      <c r="F20">
        <v>1</v>
      </c>
    </row>
    <row r="21" spans="1:6" x14ac:dyDescent="0.3">
      <c r="A21" t="s">
        <v>63</v>
      </c>
      <c r="B21" t="s">
        <v>64</v>
      </c>
      <c r="E21" t="s">
        <v>41</v>
      </c>
    </row>
    <row r="22" spans="1:6" x14ac:dyDescent="0.3">
      <c r="A22" t="s">
        <v>65</v>
      </c>
      <c r="B22" t="s">
        <v>66</v>
      </c>
      <c r="E22" t="s">
        <v>195</v>
      </c>
      <c r="F22">
        <v>2</v>
      </c>
    </row>
    <row r="23" spans="1:6" x14ac:dyDescent="0.3">
      <c r="A23" t="s">
        <v>67</v>
      </c>
      <c r="B23" t="s">
        <v>68</v>
      </c>
      <c r="E23" t="s">
        <v>41</v>
      </c>
    </row>
    <row r="24" spans="1:6" x14ac:dyDescent="0.3">
      <c r="A24" t="s">
        <v>69</v>
      </c>
      <c r="B24" t="s">
        <v>70</v>
      </c>
      <c r="E24" t="s">
        <v>196</v>
      </c>
      <c r="F24">
        <v>3</v>
      </c>
    </row>
    <row r="25" spans="1:6" x14ac:dyDescent="0.3">
      <c r="A25" t="s">
        <v>71</v>
      </c>
      <c r="B25" t="s">
        <v>72</v>
      </c>
      <c r="E25" t="s">
        <v>196</v>
      </c>
      <c r="F25">
        <v>4</v>
      </c>
    </row>
    <row r="26" spans="1:6" x14ac:dyDescent="0.3">
      <c r="A26" t="s">
        <v>73</v>
      </c>
      <c r="B26" t="s">
        <v>74</v>
      </c>
      <c r="E26" t="s">
        <v>197</v>
      </c>
      <c r="F26">
        <v>5</v>
      </c>
    </row>
    <row r="27" spans="1:6" x14ac:dyDescent="0.3">
      <c r="A27" t="s">
        <v>75</v>
      </c>
      <c r="B27" t="s">
        <v>554</v>
      </c>
      <c r="E27" t="s">
        <v>195</v>
      </c>
      <c r="F27">
        <v>6</v>
      </c>
    </row>
    <row r="28" spans="1:6" x14ac:dyDescent="0.3">
      <c r="A28" t="s">
        <v>76</v>
      </c>
      <c r="B28" t="s">
        <v>77</v>
      </c>
      <c r="E28" t="s">
        <v>176</v>
      </c>
      <c r="F28">
        <v>103</v>
      </c>
    </row>
    <row r="29" spans="1:6" x14ac:dyDescent="0.3">
      <c r="A29" t="s">
        <v>78</v>
      </c>
      <c r="B29" t="s">
        <v>79</v>
      </c>
      <c r="E29" t="s">
        <v>191</v>
      </c>
      <c r="F29">
        <v>104</v>
      </c>
    </row>
    <row r="30" spans="1:6" x14ac:dyDescent="0.3">
      <c r="A30" t="s">
        <v>80</v>
      </c>
      <c r="B30" t="s">
        <v>81</v>
      </c>
      <c r="E30" t="s">
        <v>195</v>
      </c>
    </row>
    <row r="31" spans="1:6" x14ac:dyDescent="0.3">
      <c r="A31" t="s">
        <v>82</v>
      </c>
      <c r="B31" t="s">
        <v>83</v>
      </c>
      <c r="E31" t="s">
        <v>197</v>
      </c>
      <c r="F31">
        <v>105</v>
      </c>
    </row>
    <row r="32" spans="1:6" x14ac:dyDescent="0.3">
      <c r="A32" t="s">
        <v>85</v>
      </c>
      <c r="B32" t="s">
        <v>86</v>
      </c>
      <c r="E32" t="s">
        <v>191</v>
      </c>
      <c r="F32">
        <v>106</v>
      </c>
    </row>
    <row r="33" spans="1:6" x14ac:dyDescent="0.3">
      <c r="A33" t="s">
        <v>87</v>
      </c>
      <c r="B33" t="s">
        <v>88</v>
      </c>
      <c r="E33" t="s">
        <v>198</v>
      </c>
    </row>
    <row r="34" spans="1:6" x14ac:dyDescent="0.3">
      <c r="A34" t="s">
        <v>89</v>
      </c>
      <c r="B34" t="s">
        <v>90</v>
      </c>
      <c r="E34" t="s">
        <v>198</v>
      </c>
    </row>
    <row r="35" spans="1:6" x14ac:dyDescent="0.3">
      <c r="A35" t="s">
        <v>91</v>
      </c>
      <c r="B35" t="s">
        <v>92</v>
      </c>
      <c r="E35" t="s">
        <v>176</v>
      </c>
      <c r="F35">
        <v>107</v>
      </c>
    </row>
    <row r="36" spans="1:6" x14ac:dyDescent="0.3">
      <c r="A36" t="s">
        <v>93</v>
      </c>
      <c r="B36" t="s">
        <v>94</v>
      </c>
      <c r="E36" t="s">
        <v>197</v>
      </c>
      <c r="F36">
        <v>105</v>
      </c>
    </row>
    <row r="37" spans="1:6" x14ac:dyDescent="0.3">
      <c r="A37" t="s">
        <v>95</v>
      </c>
      <c r="B37" t="s">
        <v>96</v>
      </c>
      <c r="E37" t="s">
        <v>199</v>
      </c>
    </row>
    <row r="38" spans="1:6" x14ac:dyDescent="0.3">
      <c r="A38" t="s">
        <v>97</v>
      </c>
      <c r="B38" t="s">
        <v>98</v>
      </c>
      <c r="E38" t="s">
        <v>200</v>
      </c>
    </row>
    <row r="39" spans="1:6" x14ac:dyDescent="0.3">
      <c r="A39" t="s">
        <v>99</v>
      </c>
      <c r="B39" t="s">
        <v>201</v>
      </c>
      <c r="E39" t="s">
        <v>202</v>
      </c>
    </row>
    <row r="40" spans="1:6" x14ac:dyDescent="0.3">
      <c r="A40" t="s">
        <v>101</v>
      </c>
      <c r="B40" t="s">
        <v>102</v>
      </c>
      <c r="E40" t="s">
        <v>176</v>
      </c>
      <c r="F40">
        <v>108</v>
      </c>
    </row>
    <row r="41" spans="1:6" x14ac:dyDescent="0.3">
      <c r="A41" t="s">
        <v>103</v>
      </c>
      <c r="B41" t="s">
        <v>104</v>
      </c>
      <c r="E41" t="s">
        <v>202</v>
      </c>
    </row>
    <row r="42" spans="1:6" x14ac:dyDescent="0.3">
      <c r="A42" t="s">
        <v>105</v>
      </c>
      <c r="B42" t="s">
        <v>203</v>
      </c>
      <c r="E42" t="s">
        <v>176</v>
      </c>
      <c r="F42">
        <v>115</v>
      </c>
    </row>
    <row r="43" spans="1:6" x14ac:dyDescent="0.3">
      <c r="A43" t="s">
        <v>106</v>
      </c>
      <c r="B43" t="s">
        <v>204</v>
      </c>
      <c r="E43" t="s">
        <v>205</v>
      </c>
    </row>
    <row r="44" spans="1:6" x14ac:dyDescent="0.3">
      <c r="A44" t="s">
        <v>107</v>
      </c>
      <c r="B44" t="s">
        <v>108</v>
      </c>
      <c r="E44" t="s">
        <v>176</v>
      </c>
      <c r="F44">
        <v>109</v>
      </c>
    </row>
    <row r="45" spans="1:6" x14ac:dyDescent="0.3">
      <c r="A45" t="s">
        <v>109</v>
      </c>
      <c r="B45" t="s">
        <v>110</v>
      </c>
      <c r="E45" t="s">
        <v>206</v>
      </c>
    </row>
    <row r="46" spans="1:6" x14ac:dyDescent="0.3">
      <c r="A46" t="s">
        <v>111</v>
      </c>
      <c r="B46" t="s">
        <v>112</v>
      </c>
      <c r="E46" t="s">
        <v>197</v>
      </c>
      <c r="F46">
        <v>111</v>
      </c>
    </row>
    <row r="47" spans="1:6" x14ac:dyDescent="0.3">
      <c r="A47" t="s">
        <v>113</v>
      </c>
      <c r="B47" t="s">
        <v>207</v>
      </c>
      <c r="E47" t="s">
        <v>191</v>
      </c>
      <c r="F47">
        <v>112</v>
      </c>
    </row>
    <row r="48" spans="1:6" x14ac:dyDescent="0.3">
      <c r="A48" t="s">
        <v>114</v>
      </c>
      <c r="B48" t="s">
        <v>115</v>
      </c>
      <c r="E48" t="s">
        <v>176</v>
      </c>
      <c r="F48">
        <v>113</v>
      </c>
    </row>
    <row r="49" spans="1:6" x14ac:dyDescent="0.3">
      <c r="A49" t="s">
        <v>116</v>
      </c>
      <c r="B49" t="s">
        <v>117</v>
      </c>
      <c r="E49" t="s">
        <v>176</v>
      </c>
      <c r="F49">
        <v>114</v>
      </c>
    </row>
    <row r="50" spans="1:6" x14ac:dyDescent="0.3">
      <c r="A50" t="s">
        <v>118</v>
      </c>
      <c r="B50" t="s">
        <v>208</v>
      </c>
      <c r="E50" t="s">
        <v>176</v>
      </c>
      <c r="F50">
        <v>115</v>
      </c>
    </row>
    <row r="51" spans="1:6" x14ac:dyDescent="0.3">
      <c r="A51" t="s">
        <v>119</v>
      </c>
      <c r="B51" t="s">
        <v>120</v>
      </c>
      <c r="E51" t="s">
        <v>176</v>
      </c>
      <c r="F51">
        <v>125</v>
      </c>
    </row>
    <row r="52" spans="1:6" x14ac:dyDescent="0.3">
      <c r="A52" t="s">
        <v>121</v>
      </c>
      <c r="B52" t="s">
        <v>122</v>
      </c>
      <c r="E52" t="s">
        <v>191</v>
      </c>
      <c r="F52">
        <v>126</v>
      </c>
    </row>
    <row r="53" spans="1:6" x14ac:dyDescent="0.3">
      <c r="A53" t="s">
        <v>123</v>
      </c>
      <c r="B53" t="s">
        <v>124</v>
      </c>
      <c r="E53" t="s">
        <v>209</v>
      </c>
    </row>
    <row r="54" spans="1:6" x14ac:dyDescent="0.3">
      <c r="A54" t="s">
        <v>125</v>
      </c>
      <c r="B54" t="s">
        <v>126</v>
      </c>
      <c r="E54" t="s">
        <v>210</v>
      </c>
      <c r="F54">
        <v>127</v>
      </c>
    </row>
    <row r="55" spans="1:6" x14ac:dyDescent="0.3">
      <c r="A55" t="s">
        <v>127</v>
      </c>
      <c r="B55" t="s">
        <v>8</v>
      </c>
      <c r="E55" t="s">
        <v>41</v>
      </c>
    </row>
    <row r="56" spans="1:6" x14ac:dyDescent="0.3">
      <c r="A56" t="s">
        <v>128</v>
      </c>
      <c r="B56" t="s">
        <v>9</v>
      </c>
      <c r="E56" t="s">
        <v>41</v>
      </c>
    </row>
    <row r="59" spans="1:6" ht="20.399999999999999" thickBot="1" x14ac:dyDescent="0.45">
      <c r="A59" s="1" t="s">
        <v>211</v>
      </c>
      <c r="B59" s="1" t="s">
        <v>212</v>
      </c>
    </row>
    <row r="60" spans="1:6" ht="15" thickTop="1" x14ac:dyDescent="0.3">
      <c r="A60" t="s">
        <v>10</v>
      </c>
      <c r="B60" t="s">
        <v>5</v>
      </c>
      <c r="D60" t="s">
        <v>213</v>
      </c>
    </row>
    <row r="61" spans="1:6" x14ac:dyDescent="0.3">
      <c r="A61" t="s">
        <v>11</v>
      </c>
      <c r="B61" t="s">
        <v>6</v>
      </c>
      <c r="D61" t="s">
        <v>175</v>
      </c>
      <c r="E61">
        <v>300</v>
      </c>
    </row>
    <row r="62" spans="1:6" x14ac:dyDescent="0.3">
      <c r="A62" t="s">
        <v>13</v>
      </c>
      <c r="B62" t="s">
        <v>7</v>
      </c>
      <c r="D62" t="s">
        <v>175</v>
      </c>
      <c r="E62">
        <v>301</v>
      </c>
    </row>
    <row r="63" spans="1:6" x14ac:dyDescent="0.3">
      <c r="A63" t="s">
        <v>15</v>
      </c>
      <c r="B63" t="s">
        <v>16</v>
      </c>
      <c r="D63" t="s">
        <v>41</v>
      </c>
    </row>
    <row r="64" spans="1:6" x14ac:dyDescent="0.3">
      <c r="A64" t="s">
        <v>18</v>
      </c>
      <c r="B64" t="s">
        <v>8</v>
      </c>
      <c r="D64" t="s">
        <v>41</v>
      </c>
    </row>
    <row r="65" spans="1:5" x14ac:dyDescent="0.3">
      <c r="A65" t="s">
        <v>19</v>
      </c>
      <c r="B65" t="s">
        <v>9</v>
      </c>
      <c r="D65" t="s">
        <v>41</v>
      </c>
    </row>
    <row r="68" spans="1:5" ht="20.399999999999999" thickBot="1" x14ac:dyDescent="0.45">
      <c r="A68" s="1" t="s">
        <v>214</v>
      </c>
      <c r="B68" s="1" t="s">
        <v>215</v>
      </c>
    </row>
    <row r="69" spans="1:5" ht="15" thickTop="1" x14ac:dyDescent="0.3">
      <c r="A69" t="s">
        <v>21</v>
      </c>
      <c r="B69" t="s">
        <v>22</v>
      </c>
      <c r="D69" t="s">
        <v>213</v>
      </c>
    </row>
    <row r="70" spans="1:5" x14ac:dyDescent="0.3">
      <c r="A70" t="s">
        <v>23</v>
      </c>
      <c r="B70" t="s">
        <v>216</v>
      </c>
      <c r="D70" t="s">
        <v>210</v>
      </c>
      <c r="E70">
        <v>302</v>
      </c>
    </row>
    <row r="71" spans="1:5" x14ac:dyDescent="0.3">
      <c r="A71" t="s">
        <v>24</v>
      </c>
      <c r="B71" t="s">
        <v>25</v>
      </c>
      <c r="D71" t="s">
        <v>217</v>
      </c>
    </row>
    <row r="72" spans="1:5" x14ac:dyDescent="0.3">
      <c r="A72" t="s">
        <v>26</v>
      </c>
      <c r="B72" t="s">
        <v>27</v>
      </c>
      <c r="D72" t="s">
        <v>217</v>
      </c>
    </row>
    <row r="73" spans="1:5" x14ac:dyDescent="0.3">
      <c r="A73" t="s">
        <v>28</v>
      </c>
      <c r="B73" t="s">
        <v>29</v>
      </c>
      <c r="D73" t="s">
        <v>218</v>
      </c>
    </row>
    <row r="74" spans="1:5" x14ac:dyDescent="0.3">
      <c r="A74" t="s">
        <v>30</v>
      </c>
      <c r="B74" t="s">
        <v>31</v>
      </c>
      <c r="D74" t="s">
        <v>218</v>
      </c>
    </row>
    <row r="75" spans="1:5" x14ac:dyDescent="0.3">
      <c r="A75" t="s">
        <v>32</v>
      </c>
      <c r="B75" t="s">
        <v>33</v>
      </c>
      <c r="D75" t="s">
        <v>219</v>
      </c>
    </row>
    <row r="76" spans="1:5" x14ac:dyDescent="0.3">
      <c r="A76" t="s">
        <v>34</v>
      </c>
      <c r="B76" t="s">
        <v>35</v>
      </c>
      <c r="D76" t="s">
        <v>176</v>
      </c>
      <c r="E76">
        <v>101</v>
      </c>
    </row>
    <row r="77" spans="1:5" x14ac:dyDescent="0.3">
      <c r="A77" t="s">
        <v>36</v>
      </c>
      <c r="B77" t="s">
        <v>37</v>
      </c>
      <c r="D77" t="s">
        <v>176</v>
      </c>
      <c r="E77">
        <v>102</v>
      </c>
    </row>
    <row r="78" spans="1:5" x14ac:dyDescent="0.3">
      <c r="A78" t="s">
        <v>38</v>
      </c>
      <c r="B78" t="s">
        <v>553</v>
      </c>
      <c r="D78" t="s">
        <v>210</v>
      </c>
      <c r="E78">
        <v>303</v>
      </c>
    </row>
    <row r="79" spans="1:5" x14ac:dyDescent="0.3">
      <c r="A79" t="s">
        <v>39</v>
      </c>
      <c r="B79" t="s">
        <v>40</v>
      </c>
      <c r="D79" t="s">
        <v>176</v>
      </c>
      <c r="E79">
        <v>304</v>
      </c>
    </row>
    <row r="80" spans="1:5" x14ac:dyDescent="0.3">
      <c r="A80" t="s">
        <v>42</v>
      </c>
      <c r="B80" t="s">
        <v>220</v>
      </c>
      <c r="D80" t="s">
        <v>176</v>
      </c>
    </row>
    <row r="81" spans="1:5" x14ac:dyDescent="0.3">
      <c r="B81" t="s">
        <v>20</v>
      </c>
    </row>
    <row r="82" spans="1:5" x14ac:dyDescent="0.3">
      <c r="A82" t="s">
        <v>43</v>
      </c>
      <c r="B82" t="s">
        <v>9</v>
      </c>
      <c r="D82" t="s">
        <v>41</v>
      </c>
    </row>
    <row r="85" spans="1:5" ht="20.399999999999999" thickBot="1" x14ac:dyDescent="0.45">
      <c r="A85" s="1" t="s">
        <v>221</v>
      </c>
      <c r="B85" s="1" t="s">
        <v>222</v>
      </c>
    </row>
    <row r="86" spans="1:5" ht="15" thickTop="1" x14ac:dyDescent="0.3">
      <c r="A86" t="s">
        <v>129</v>
      </c>
      <c r="B86" t="s">
        <v>17</v>
      </c>
      <c r="D86" t="s">
        <v>41</v>
      </c>
    </row>
    <row r="87" spans="1:5" x14ac:dyDescent="0.3">
      <c r="A87" t="s">
        <v>130</v>
      </c>
      <c r="B87" t="s">
        <v>131</v>
      </c>
      <c r="D87" t="s">
        <v>223</v>
      </c>
    </row>
    <row r="88" spans="1:5" x14ac:dyDescent="0.3">
      <c r="A88" t="s">
        <v>132</v>
      </c>
      <c r="B88" t="s">
        <v>133</v>
      </c>
      <c r="D88" t="s">
        <v>224</v>
      </c>
    </row>
    <row r="89" spans="1:5" x14ac:dyDescent="0.3">
      <c r="A89" t="s">
        <v>134</v>
      </c>
      <c r="B89" t="s">
        <v>135</v>
      </c>
      <c r="D89" t="s">
        <v>176</v>
      </c>
      <c r="E89">
        <v>201</v>
      </c>
    </row>
    <row r="90" spans="1:5" x14ac:dyDescent="0.3">
      <c r="A90" t="s">
        <v>136</v>
      </c>
      <c r="B90" t="s">
        <v>137</v>
      </c>
      <c r="D90" t="s">
        <v>225</v>
      </c>
      <c r="E90">
        <v>202</v>
      </c>
    </row>
    <row r="91" spans="1:5" x14ac:dyDescent="0.3">
      <c r="A91" t="s">
        <v>138</v>
      </c>
      <c r="B91" t="s">
        <v>226</v>
      </c>
      <c r="D91" t="s">
        <v>227</v>
      </c>
    </row>
    <row r="92" spans="1:5" x14ac:dyDescent="0.3">
      <c r="A92" t="s">
        <v>139</v>
      </c>
      <c r="B92" t="s">
        <v>140</v>
      </c>
      <c r="D92" t="s">
        <v>191</v>
      </c>
      <c r="E92">
        <v>215</v>
      </c>
    </row>
    <row r="93" spans="1:5" x14ac:dyDescent="0.3">
      <c r="A93" t="s">
        <v>141</v>
      </c>
      <c r="B93" t="s">
        <v>142</v>
      </c>
      <c r="D93" t="s">
        <v>41</v>
      </c>
    </row>
    <row r="94" spans="1:5" x14ac:dyDescent="0.3">
      <c r="A94" t="s">
        <v>143</v>
      </c>
      <c r="B94" t="s">
        <v>144</v>
      </c>
      <c r="D94" t="s">
        <v>176</v>
      </c>
    </row>
    <row r="95" spans="1:5" x14ac:dyDescent="0.3">
      <c r="A95" t="s">
        <v>145</v>
      </c>
      <c r="B95" t="s">
        <v>228</v>
      </c>
      <c r="D95" t="s">
        <v>176</v>
      </c>
    </row>
    <row r="96" spans="1:5" x14ac:dyDescent="0.3">
      <c r="A96" t="s">
        <v>146</v>
      </c>
      <c r="B96" t="s">
        <v>147</v>
      </c>
      <c r="D96" t="s">
        <v>210</v>
      </c>
      <c r="E96">
        <v>203</v>
      </c>
    </row>
    <row r="97" spans="1:6" x14ac:dyDescent="0.3">
      <c r="A97" t="s">
        <v>148</v>
      </c>
      <c r="B97" t="s">
        <v>149</v>
      </c>
      <c r="D97" t="s">
        <v>229</v>
      </c>
    </row>
    <row r="98" spans="1:6" x14ac:dyDescent="0.3">
      <c r="A98" t="s">
        <v>150</v>
      </c>
      <c r="B98" t="s">
        <v>151</v>
      </c>
      <c r="D98" t="s">
        <v>223</v>
      </c>
    </row>
    <row r="99" spans="1:6" x14ac:dyDescent="0.3">
      <c r="A99" t="s">
        <v>152</v>
      </c>
      <c r="B99" t="s">
        <v>153</v>
      </c>
      <c r="D99" t="s">
        <v>230</v>
      </c>
      <c r="E99">
        <v>204</v>
      </c>
    </row>
    <row r="100" spans="1:6" x14ac:dyDescent="0.3">
      <c r="A100" t="s">
        <v>154</v>
      </c>
      <c r="B100" t="s">
        <v>155</v>
      </c>
      <c r="D100" t="s">
        <v>176</v>
      </c>
      <c r="E100">
        <v>205</v>
      </c>
    </row>
    <row r="101" spans="1:6" x14ac:dyDescent="0.3">
      <c r="A101" t="s">
        <v>156</v>
      </c>
      <c r="B101" t="s">
        <v>157</v>
      </c>
      <c r="D101" t="s">
        <v>231</v>
      </c>
      <c r="E101" t="s">
        <v>232</v>
      </c>
    </row>
    <row r="102" spans="1:6" x14ac:dyDescent="0.3">
      <c r="A102" t="s">
        <v>158</v>
      </c>
      <c r="B102" t="s">
        <v>159</v>
      </c>
      <c r="E102" t="s">
        <v>176</v>
      </c>
      <c r="F102">
        <v>206</v>
      </c>
    </row>
    <row r="103" spans="1:6" x14ac:dyDescent="0.3">
      <c r="A103" t="s">
        <v>160</v>
      </c>
      <c r="B103" t="s">
        <v>161</v>
      </c>
      <c r="D103" t="s">
        <v>233</v>
      </c>
      <c r="E103" t="s">
        <v>232</v>
      </c>
    </row>
    <row r="104" spans="1:6" x14ac:dyDescent="0.3">
      <c r="A104" t="s">
        <v>162</v>
      </c>
      <c r="B104" t="s">
        <v>163</v>
      </c>
      <c r="E104" t="s">
        <v>41</v>
      </c>
    </row>
    <row r="105" spans="1:6" x14ac:dyDescent="0.3">
      <c r="A105" t="s">
        <v>164</v>
      </c>
      <c r="B105" t="s">
        <v>165</v>
      </c>
      <c r="E105" t="s">
        <v>41</v>
      </c>
    </row>
    <row r="106" spans="1:6" x14ac:dyDescent="0.3">
      <c r="A106" t="s">
        <v>166</v>
      </c>
      <c r="B106" t="s">
        <v>167</v>
      </c>
      <c r="E106" t="s">
        <v>41</v>
      </c>
    </row>
    <row r="107" spans="1:6" x14ac:dyDescent="0.3">
      <c r="A107" t="s">
        <v>168</v>
      </c>
      <c r="B107" t="s">
        <v>169</v>
      </c>
      <c r="E107" t="s">
        <v>197</v>
      </c>
      <c r="F107">
        <v>207</v>
      </c>
    </row>
    <row r="108" spans="1:6" x14ac:dyDescent="0.3">
      <c r="A108" t="s">
        <v>170</v>
      </c>
      <c r="B108" t="s">
        <v>234</v>
      </c>
      <c r="E108" t="s">
        <v>41</v>
      </c>
    </row>
    <row r="109" spans="1:6" x14ac:dyDescent="0.3">
      <c r="A109" t="s">
        <v>235</v>
      </c>
      <c r="B109" t="s">
        <v>236</v>
      </c>
      <c r="E109" t="s">
        <v>41</v>
      </c>
    </row>
    <row r="110" spans="1:6" x14ac:dyDescent="0.3">
      <c r="A110" t="s">
        <v>237</v>
      </c>
      <c r="B110" t="s">
        <v>238</v>
      </c>
      <c r="E110" t="s">
        <v>230</v>
      </c>
      <c r="F110">
        <v>208</v>
      </c>
    </row>
    <row r="111" spans="1:6" x14ac:dyDescent="0.3">
      <c r="A111" t="s">
        <v>239</v>
      </c>
      <c r="B111" t="s">
        <v>240</v>
      </c>
      <c r="E111" t="s">
        <v>176</v>
      </c>
      <c r="F111">
        <v>209</v>
      </c>
    </row>
    <row r="112" spans="1:6" x14ac:dyDescent="0.3">
      <c r="A112" t="s">
        <v>241</v>
      </c>
      <c r="B112" t="s">
        <v>242</v>
      </c>
      <c r="E112" t="s">
        <v>229</v>
      </c>
    </row>
    <row r="113" spans="1:5" x14ac:dyDescent="0.3">
      <c r="A113" t="s">
        <v>243</v>
      </c>
      <c r="B113" t="s">
        <v>244</v>
      </c>
      <c r="E113" t="s">
        <v>41</v>
      </c>
    </row>
    <row r="114" spans="1:5" x14ac:dyDescent="0.3">
      <c r="A114" t="s">
        <v>245</v>
      </c>
      <c r="B114" t="s">
        <v>246</v>
      </c>
      <c r="E114" t="s">
        <v>229</v>
      </c>
    </row>
    <row r="115" spans="1:5" x14ac:dyDescent="0.3">
      <c r="A115" t="s">
        <v>247</v>
      </c>
      <c r="B115" t="s">
        <v>248</v>
      </c>
      <c r="E115" t="s">
        <v>41</v>
      </c>
    </row>
    <row r="116" spans="1:5" x14ac:dyDescent="0.3">
      <c r="A116" t="s">
        <v>249</v>
      </c>
      <c r="B116" t="s">
        <v>250</v>
      </c>
      <c r="D116" t="s">
        <v>251</v>
      </c>
      <c r="E116" t="s">
        <v>252</v>
      </c>
    </row>
    <row r="117" spans="1:5" x14ac:dyDescent="0.3">
      <c r="A117" t="s">
        <v>253</v>
      </c>
      <c r="B117" t="s">
        <v>254</v>
      </c>
      <c r="D117" t="s">
        <v>251</v>
      </c>
      <c r="E117" t="s">
        <v>252</v>
      </c>
    </row>
    <row r="118" spans="1:5" x14ac:dyDescent="0.3">
      <c r="A118" t="s">
        <v>255</v>
      </c>
      <c r="B118" t="s">
        <v>256</v>
      </c>
      <c r="D118" t="s">
        <v>251</v>
      </c>
      <c r="E118" t="s">
        <v>252</v>
      </c>
    </row>
    <row r="119" spans="1:5" x14ac:dyDescent="0.3">
      <c r="B119" t="s">
        <v>257</v>
      </c>
    </row>
    <row r="120" spans="1:5" x14ac:dyDescent="0.3">
      <c r="A120" t="s">
        <v>258</v>
      </c>
      <c r="B120" t="s">
        <v>259</v>
      </c>
      <c r="D120" t="s">
        <v>251</v>
      </c>
      <c r="E120" t="s">
        <v>232</v>
      </c>
    </row>
    <row r="121" spans="1:5" x14ac:dyDescent="0.3">
      <c r="A121" t="s">
        <v>260</v>
      </c>
      <c r="B121" t="s">
        <v>261</v>
      </c>
      <c r="D121" t="s">
        <v>251</v>
      </c>
      <c r="E121" t="s">
        <v>232</v>
      </c>
    </row>
    <row r="122" spans="1:5" x14ac:dyDescent="0.3">
      <c r="A122" t="s">
        <v>262</v>
      </c>
      <c r="B122" t="s">
        <v>263</v>
      </c>
      <c r="D122" t="s">
        <v>251</v>
      </c>
      <c r="E122" t="s">
        <v>232</v>
      </c>
    </row>
    <row r="123" spans="1:5" x14ac:dyDescent="0.3">
      <c r="A123" t="s">
        <v>264</v>
      </c>
      <c r="B123" t="s">
        <v>265</v>
      </c>
      <c r="D123" t="s">
        <v>251</v>
      </c>
      <c r="E123" t="s">
        <v>224</v>
      </c>
    </row>
    <row r="124" spans="1:5" x14ac:dyDescent="0.3">
      <c r="A124" t="s">
        <v>266</v>
      </c>
      <c r="B124" t="s">
        <v>267</v>
      </c>
      <c r="D124" t="s">
        <v>251</v>
      </c>
      <c r="E124" t="s">
        <v>224</v>
      </c>
    </row>
    <row r="125" spans="1:5" x14ac:dyDescent="0.3">
      <c r="A125" t="s">
        <v>268</v>
      </c>
      <c r="B125" t="s">
        <v>269</v>
      </c>
      <c r="D125" t="s">
        <v>251</v>
      </c>
      <c r="E125" t="s">
        <v>224</v>
      </c>
    </row>
    <row r="126" spans="1:5" x14ac:dyDescent="0.3">
      <c r="A126" t="s">
        <v>270</v>
      </c>
      <c r="B126" t="s">
        <v>271</v>
      </c>
      <c r="D126" t="s">
        <v>251</v>
      </c>
      <c r="E126" t="s">
        <v>272</v>
      </c>
    </row>
    <row r="127" spans="1:5" x14ac:dyDescent="0.3">
      <c r="A127" t="s">
        <v>273</v>
      </c>
      <c r="B127" t="s">
        <v>274</v>
      </c>
      <c r="D127" t="s">
        <v>251</v>
      </c>
      <c r="E127" t="s">
        <v>252</v>
      </c>
    </row>
    <row r="128" spans="1:5" x14ac:dyDescent="0.3">
      <c r="A128" t="s">
        <v>275</v>
      </c>
      <c r="B128" t="s">
        <v>555</v>
      </c>
      <c r="D128" t="s">
        <v>251</v>
      </c>
      <c r="E128" t="s">
        <v>276</v>
      </c>
    </row>
    <row r="129" spans="1:5" x14ac:dyDescent="0.3">
      <c r="A129" t="s">
        <v>277</v>
      </c>
      <c r="B129" t="s">
        <v>8</v>
      </c>
      <c r="D129" t="s">
        <v>278</v>
      </c>
    </row>
    <row r="130" spans="1:5" x14ac:dyDescent="0.3">
      <c r="A130" t="s">
        <v>279</v>
      </c>
      <c r="B130" t="s">
        <v>9</v>
      </c>
      <c r="E130" t="s">
        <v>41</v>
      </c>
    </row>
    <row r="133" spans="1:5" ht="20.399999999999999" thickBot="1" x14ac:dyDescent="0.45">
      <c r="A133" s="1" t="s">
        <v>280</v>
      </c>
      <c r="B133" s="1" t="s">
        <v>281</v>
      </c>
    </row>
    <row r="134" spans="1:5" ht="15" thickTop="1" x14ac:dyDescent="0.3">
      <c r="A134" t="s">
        <v>282</v>
      </c>
      <c r="B134" t="s">
        <v>53</v>
      </c>
      <c r="D134" t="s">
        <v>187</v>
      </c>
      <c r="E134" t="s">
        <v>283</v>
      </c>
    </row>
    <row r="135" spans="1:5" x14ac:dyDescent="0.3">
      <c r="A135" t="s">
        <v>284</v>
      </c>
      <c r="B135" t="s">
        <v>285</v>
      </c>
      <c r="E135" t="s">
        <v>286</v>
      </c>
    </row>
    <row r="136" spans="1:5" x14ac:dyDescent="0.3">
      <c r="A136" t="s">
        <v>287</v>
      </c>
      <c r="B136" t="s">
        <v>288</v>
      </c>
      <c r="E136" t="s">
        <v>196</v>
      </c>
    </row>
    <row r="137" spans="1:5" x14ac:dyDescent="0.3">
      <c r="A137" t="s">
        <v>289</v>
      </c>
      <c r="B137" t="s">
        <v>290</v>
      </c>
      <c r="E137" t="s">
        <v>191</v>
      </c>
    </row>
    <row r="138" spans="1:5" x14ac:dyDescent="0.3">
      <c r="A138" t="s">
        <v>291</v>
      </c>
      <c r="B138" t="s">
        <v>292</v>
      </c>
      <c r="D138" t="s">
        <v>293</v>
      </c>
      <c r="E138" t="s">
        <v>294</v>
      </c>
    </row>
    <row r="139" spans="1:5" x14ac:dyDescent="0.3">
      <c r="A139" t="s">
        <v>295</v>
      </c>
      <c r="B139" t="s">
        <v>296</v>
      </c>
      <c r="D139" t="s">
        <v>293</v>
      </c>
      <c r="E139" t="s">
        <v>294</v>
      </c>
    </row>
    <row r="140" spans="1:5" x14ac:dyDescent="0.3">
      <c r="A140" t="s">
        <v>297</v>
      </c>
      <c r="B140" t="s">
        <v>298</v>
      </c>
      <c r="E140" t="s">
        <v>210</v>
      </c>
    </row>
    <row r="141" spans="1:5" x14ac:dyDescent="0.3">
      <c r="A141" t="s">
        <v>299</v>
      </c>
      <c r="B141" t="s">
        <v>300</v>
      </c>
      <c r="E141" t="s">
        <v>191</v>
      </c>
    </row>
    <row r="142" spans="1:5" x14ac:dyDescent="0.3">
      <c r="A142" t="s">
        <v>301</v>
      </c>
      <c r="B142" t="s">
        <v>302</v>
      </c>
      <c r="E142" t="s">
        <v>191</v>
      </c>
    </row>
    <row r="143" spans="1:5" x14ac:dyDescent="0.3">
      <c r="A143" t="s">
        <v>303</v>
      </c>
      <c r="B143" t="s">
        <v>556</v>
      </c>
      <c r="D143" t="s">
        <v>41</v>
      </c>
    </row>
    <row r="144" spans="1:5" x14ac:dyDescent="0.3">
      <c r="A144" t="s">
        <v>304</v>
      </c>
      <c r="B144" t="s">
        <v>305</v>
      </c>
      <c r="D144" t="s">
        <v>41</v>
      </c>
    </row>
    <row r="145" spans="1:5" x14ac:dyDescent="0.3">
      <c r="A145" t="s">
        <v>306</v>
      </c>
      <c r="B145" t="s">
        <v>307</v>
      </c>
      <c r="D145" t="s">
        <v>41</v>
      </c>
    </row>
    <row r="146" spans="1:5" x14ac:dyDescent="0.3">
      <c r="A146" t="s">
        <v>308</v>
      </c>
      <c r="B146" t="s">
        <v>309</v>
      </c>
      <c r="D146" t="s">
        <v>176</v>
      </c>
    </row>
    <row r="147" spans="1:5" x14ac:dyDescent="0.3">
      <c r="A147" t="s">
        <v>310</v>
      </c>
      <c r="B147" t="s">
        <v>311</v>
      </c>
      <c r="D147" t="s">
        <v>205</v>
      </c>
    </row>
    <row r="148" spans="1:5" x14ac:dyDescent="0.3">
      <c r="A148" t="s">
        <v>312</v>
      </c>
      <c r="B148" t="s">
        <v>313</v>
      </c>
      <c r="D148" t="s">
        <v>176</v>
      </c>
      <c r="E148">
        <v>213</v>
      </c>
    </row>
    <row r="149" spans="1:5" x14ac:dyDescent="0.3">
      <c r="A149" t="s">
        <v>314</v>
      </c>
      <c r="B149" t="s">
        <v>315</v>
      </c>
      <c r="D149" t="s">
        <v>191</v>
      </c>
    </row>
    <row r="150" spans="1:5" x14ac:dyDescent="0.3">
      <c r="A150" t="s">
        <v>316</v>
      </c>
      <c r="B150" t="s">
        <v>240</v>
      </c>
      <c r="D150" t="s">
        <v>176</v>
      </c>
      <c r="E150">
        <v>209</v>
      </c>
    </row>
    <row r="151" spans="1:5" x14ac:dyDescent="0.3">
      <c r="A151" t="s">
        <v>317</v>
      </c>
      <c r="B151" t="s">
        <v>242</v>
      </c>
      <c r="D151" t="s">
        <v>229</v>
      </c>
    </row>
    <row r="152" spans="1:5" x14ac:dyDescent="0.3">
      <c r="A152" t="s">
        <v>318</v>
      </c>
      <c r="B152" t="s">
        <v>244</v>
      </c>
      <c r="D152" t="s">
        <v>41</v>
      </c>
    </row>
    <row r="153" spans="1:5" x14ac:dyDescent="0.3">
      <c r="A153" t="s">
        <v>319</v>
      </c>
      <c r="B153" t="s">
        <v>320</v>
      </c>
      <c r="D153" t="s">
        <v>229</v>
      </c>
    </row>
    <row r="154" spans="1:5" x14ac:dyDescent="0.3">
      <c r="A154" t="s">
        <v>321</v>
      </c>
      <c r="B154" t="s">
        <v>322</v>
      </c>
      <c r="D154" t="s">
        <v>41</v>
      </c>
    </row>
    <row r="155" spans="1:5" x14ac:dyDescent="0.3">
      <c r="A155" t="s">
        <v>323</v>
      </c>
      <c r="B155" t="s">
        <v>324</v>
      </c>
      <c r="D155" t="s">
        <v>325</v>
      </c>
    </row>
    <row r="156" spans="1:5" x14ac:dyDescent="0.3">
      <c r="A156" t="s">
        <v>326</v>
      </c>
      <c r="B156" t="s">
        <v>327</v>
      </c>
      <c r="D156" t="s">
        <v>325</v>
      </c>
    </row>
    <row r="157" spans="1:5" x14ac:dyDescent="0.3">
      <c r="A157" t="s">
        <v>328</v>
      </c>
      <c r="B157" t="s">
        <v>329</v>
      </c>
      <c r="D157" t="s">
        <v>325</v>
      </c>
    </row>
    <row r="158" spans="1:5" x14ac:dyDescent="0.3">
      <c r="A158" t="s">
        <v>330</v>
      </c>
      <c r="B158" t="s">
        <v>550</v>
      </c>
      <c r="D158" t="s">
        <v>41</v>
      </c>
    </row>
    <row r="159" spans="1:5" x14ac:dyDescent="0.3">
      <c r="A159" t="s">
        <v>331</v>
      </c>
      <c r="B159" t="s">
        <v>8</v>
      </c>
      <c r="D159" t="s">
        <v>41</v>
      </c>
    </row>
    <row r="160" spans="1:5" x14ac:dyDescent="0.3">
      <c r="A160" t="s">
        <v>332</v>
      </c>
      <c r="B160" t="s">
        <v>9</v>
      </c>
      <c r="D160" t="s">
        <v>41</v>
      </c>
    </row>
    <row r="163" spans="1:5" ht="20.399999999999999" thickBot="1" x14ac:dyDescent="0.45">
      <c r="A163" s="1" t="s">
        <v>333</v>
      </c>
      <c r="B163" s="1" t="s">
        <v>334</v>
      </c>
    </row>
    <row r="164" spans="1:5" ht="15" thickTop="1" x14ac:dyDescent="0.3">
      <c r="A164" t="s">
        <v>335</v>
      </c>
      <c r="B164" t="s">
        <v>53</v>
      </c>
      <c r="D164" t="s">
        <v>336</v>
      </c>
    </row>
    <row r="165" spans="1:5" x14ac:dyDescent="0.3">
      <c r="A165" t="s">
        <v>337</v>
      </c>
      <c r="B165" t="s">
        <v>338</v>
      </c>
      <c r="D165" t="s">
        <v>176</v>
      </c>
      <c r="E165">
        <v>401</v>
      </c>
    </row>
    <row r="166" spans="1:5" x14ac:dyDescent="0.3">
      <c r="A166" t="s">
        <v>339</v>
      </c>
      <c r="B166" t="s">
        <v>340</v>
      </c>
      <c r="D166" t="s">
        <v>341</v>
      </c>
    </row>
    <row r="167" spans="1:5" x14ac:dyDescent="0.3">
      <c r="A167" t="s">
        <v>342</v>
      </c>
      <c r="B167" t="s">
        <v>549</v>
      </c>
      <c r="D167" t="s">
        <v>223</v>
      </c>
    </row>
    <row r="168" spans="1:5" x14ac:dyDescent="0.3">
      <c r="A168" t="s">
        <v>343</v>
      </c>
      <c r="B168" t="s">
        <v>9</v>
      </c>
      <c r="D168" t="s">
        <v>41</v>
      </c>
    </row>
    <row r="171" spans="1:5" ht="20.399999999999999" thickBot="1" x14ac:dyDescent="0.45">
      <c r="A171" s="1" t="s">
        <v>344</v>
      </c>
      <c r="B171" s="1" t="s">
        <v>345</v>
      </c>
    </row>
    <row r="172" spans="1:5" ht="15" thickTop="1" x14ac:dyDescent="0.3">
      <c r="A172" t="s">
        <v>346</v>
      </c>
      <c r="B172" t="s">
        <v>48</v>
      </c>
      <c r="D172" t="s">
        <v>181</v>
      </c>
    </row>
    <row r="173" spans="1:5" x14ac:dyDescent="0.3">
      <c r="A173" t="s">
        <v>347</v>
      </c>
      <c r="B173" t="s">
        <v>348</v>
      </c>
      <c r="D173" t="s">
        <v>175</v>
      </c>
    </row>
    <row r="174" spans="1:5" x14ac:dyDescent="0.3">
      <c r="A174" t="s">
        <v>349</v>
      </c>
      <c r="B174" t="s">
        <v>62</v>
      </c>
      <c r="D174" t="s">
        <v>350</v>
      </c>
    </row>
    <row r="175" spans="1:5" x14ac:dyDescent="0.3">
      <c r="A175" t="s">
        <v>351</v>
      </c>
      <c r="B175" t="s">
        <v>64</v>
      </c>
      <c r="D175" t="s">
        <v>41</v>
      </c>
    </row>
    <row r="176" spans="1:5" x14ac:dyDescent="0.3">
      <c r="A176" t="s">
        <v>352</v>
      </c>
      <c r="B176" t="s">
        <v>66</v>
      </c>
      <c r="D176" t="s">
        <v>195</v>
      </c>
      <c r="E176">
        <v>2</v>
      </c>
    </row>
    <row r="177" spans="1:6" x14ac:dyDescent="0.3">
      <c r="A177" t="s">
        <v>353</v>
      </c>
      <c r="B177" t="s">
        <v>68</v>
      </c>
      <c r="D177" t="s">
        <v>41</v>
      </c>
    </row>
    <row r="178" spans="1:6" x14ac:dyDescent="0.3">
      <c r="A178" t="s">
        <v>354</v>
      </c>
      <c r="B178" t="s">
        <v>70</v>
      </c>
      <c r="D178" t="s">
        <v>196</v>
      </c>
      <c r="E178">
        <v>3</v>
      </c>
    </row>
    <row r="179" spans="1:6" x14ac:dyDescent="0.3">
      <c r="A179" t="s">
        <v>355</v>
      </c>
      <c r="B179" t="s">
        <v>72</v>
      </c>
      <c r="D179" t="s">
        <v>196</v>
      </c>
      <c r="E179">
        <v>4</v>
      </c>
    </row>
    <row r="180" spans="1:6" x14ac:dyDescent="0.3">
      <c r="A180" t="s">
        <v>356</v>
      </c>
      <c r="B180" t="s">
        <v>74</v>
      </c>
      <c r="D180" t="s">
        <v>197</v>
      </c>
      <c r="E180">
        <v>5</v>
      </c>
    </row>
    <row r="181" spans="1:6" x14ac:dyDescent="0.3">
      <c r="A181" t="s">
        <v>357</v>
      </c>
      <c r="B181" t="s">
        <v>554</v>
      </c>
      <c r="D181" t="s">
        <v>195</v>
      </c>
      <c r="E181">
        <v>6</v>
      </c>
    </row>
    <row r="182" spans="1:6" x14ac:dyDescent="0.3">
      <c r="A182" t="s">
        <v>358</v>
      </c>
      <c r="B182" t="s">
        <v>359</v>
      </c>
      <c r="D182" t="s">
        <v>199</v>
      </c>
    </row>
    <row r="183" spans="1:6" x14ac:dyDescent="0.3">
      <c r="A183" t="s">
        <v>360</v>
      </c>
      <c r="B183" t="s">
        <v>77</v>
      </c>
      <c r="D183" t="s">
        <v>176</v>
      </c>
      <c r="E183">
        <v>103</v>
      </c>
    </row>
    <row r="184" spans="1:6" x14ac:dyDescent="0.3">
      <c r="A184" t="s">
        <v>361</v>
      </c>
      <c r="B184" t="s">
        <v>79</v>
      </c>
      <c r="D184" t="s">
        <v>191</v>
      </c>
      <c r="E184">
        <v>104</v>
      </c>
    </row>
    <row r="185" spans="1:6" x14ac:dyDescent="0.3">
      <c r="A185" t="s">
        <v>362</v>
      </c>
      <c r="B185" t="s">
        <v>81</v>
      </c>
      <c r="D185" t="s">
        <v>195</v>
      </c>
    </row>
    <row r="186" spans="1:6" x14ac:dyDescent="0.3">
      <c r="A186" t="s">
        <v>363</v>
      </c>
      <c r="B186" t="s">
        <v>83</v>
      </c>
      <c r="D186" t="s">
        <v>197</v>
      </c>
      <c r="F186">
        <v>105</v>
      </c>
    </row>
    <row r="187" spans="1:6" x14ac:dyDescent="0.3">
      <c r="A187" t="s">
        <v>364</v>
      </c>
      <c r="B187" t="s">
        <v>57</v>
      </c>
      <c r="D187" t="s">
        <v>176</v>
      </c>
      <c r="F187">
        <v>116</v>
      </c>
    </row>
    <row r="188" spans="1:6" x14ac:dyDescent="0.3">
      <c r="A188" t="s">
        <v>365</v>
      </c>
      <c r="B188" t="s">
        <v>366</v>
      </c>
      <c r="D188" t="s">
        <v>197</v>
      </c>
      <c r="F188">
        <v>117</v>
      </c>
    </row>
    <row r="189" spans="1:6" x14ac:dyDescent="0.3">
      <c r="A189" t="s">
        <v>367</v>
      </c>
      <c r="B189" t="s">
        <v>368</v>
      </c>
      <c r="D189" t="s">
        <v>176</v>
      </c>
      <c r="F189">
        <v>118</v>
      </c>
    </row>
    <row r="190" spans="1:6" x14ac:dyDescent="0.3">
      <c r="A190" t="s">
        <v>369</v>
      </c>
      <c r="B190" t="s">
        <v>557</v>
      </c>
      <c r="D190" t="s">
        <v>370</v>
      </c>
    </row>
    <row r="191" spans="1:6" x14ac:dyDescent="0.3">
      <c r="A191" t="s">
        <v>371</v>
      </c>
      <c r="B191" t="s">
        <v>372</v>
      </c>
      <c r="D191" t="s">
        <v>370</v>
      </c>
    </row>
    <row r="192" spans="1:6" x14ac:dyDescent="0.3">
      <c r="A192" t="s">
        <v>373</v>
      </c>
      <c r="B192" t="s">
        <v>374</v>
      </c>
      <c r="D192" t="s">
        <v>176</v>
      </c>
      <c r="F192">
        <v>118</v>
      </c>
    </row>
    <row r="193" spans="1:6" x14ac:dyDescent="0.3">
      <c r="A193" t="s">
        <v>375</v>
      </c>
      <c r="B193" t="s">
        <v>376</v>
      </c>
      <c r="D193" t="s">
        <v>197</v>
      </c>
      <c r="F193">
        <v>105</v>
      </c>
    </row>
    <row r="194" spans="1:6" x14ac:dyDescent="0.3">
      <c r="A194" t="s">
        <v>377</v>
      </c>
      <c r="B194" t="s">
        <v>378</v>
      </c>
      <c r="D194" t="s">
        <v>176</v>
      </c>
      <c r="F194">
        <v>119</v>
      </c>
    </row>
    <row r="195" spans="1:6" x14ac:dyDescent="0.3">
      <c r="A195" t="s">
        <v>379</v>
      </c>
      <c r="B195" t="s">
        <v>380</v>
      </c>
      <c r="D195" t="s">
        <v>370</v>
      </c>
    </row>
    <row r="196" spans="1:6" x14ac:dyDescent="0.3">
      <c r="A196" t="s">
        <v>381</v>
      </c>
      <c r="B196" t="s">
        <v>558</v>
      </c>
      <c r="D196" t="s">
        <v>370</v>
      </c>
    </row>
    <row r="197" spans="1:6" x14ac:dyDescent="0.3">
      <c r="A197" t="s">
        <v>382</v>
      </c>
      <c r="B197" t="s">
        <v>383</v>
      </c>
      <c r="D197" t="s">
        <v>205</v>
      </c>
    </row>
    <row r="198" spans="1:6" x14ac:dyDescent="0.3">
      <c r="A198" t="s">
        <v>384</v>
      </c>
      <c r="B198" t="s">
        <v>385</v>
      </c>
      <c r="D198" t="s">
        <v>176</v>
      </c>
      <c r="F198">
        <v>118</v>
      </c>
    </row>
    <row r="199" spans="1:6" x14ac:dyDescent="0.3">
      <c r="A199" t="s">
        <v>386</v>
      </c>
      <c r="B199" t="s">
        <v>387</v>
      </c>
      <c r="D199" t="s">
        <v>197</v>
      </c>
      <c r="F199">
        <v>105</v>
      </c>
    </row>
    <row r="200" spans="1:6" x14ac:dyDescent="0.3">
      <c r="A200" t="s">
        <v>388</v>
      </c>
      <c r="B200" t="s">
        <v>389</v>
      </c>
      <c r="D200" t="s">
        <v>370</v>
      </c>
    </row>
    <row r="201" spans="1:6" x14ac:dyDescent="0.3">
      <c r="A201" t="s">
        <v>390</v>
      </c>
      <c r="B201" t="s">
        <v>559</v>
      </c>
      <c r="D201" t="s">
        <v>370</v>
      </c>
    </row>
    <row r="202" spans="1:6" x14ac:dyDescent="0.3">
      <c r="A202" t="s">
        <v>391</v>
      </c>
      <c r="B202" t="s">
        <v>392</v>
      </c>
      <c r="D202" t="s">
        <v>197</v>
      </c>
      <c r="F202">
        <v>105</v>
      </c>
    </row>
    <row r="203" spans="1:6" x14ac:dyDescent="0.3">
      <c r="A203" t="s">
        <v>393</v>
      </c>
      <c r="B203" t="s">
        <v>394</v>
      </c>
      <c r="D203" t="s">
        <v>176</v>
      </c>
      <c r="F203">
        <v>120</v>
      </c>
    </row>
    <row r="204" spans="1:6" x14ac:dyDescent="0.3">
      <c r="A204" t="s">
        <v>395</v>
      </c>
      <c r="B204" t="s">
        <v>396</v>
      </c>
      <c r="D204" t="s">
        <v>197</v>
      </c>
      <c r="F204">
        <v>105</v>
      </c>
    </row>
    <row r="205" spans="1:6" x14ac:dyDescent="0.3">
      <c r="A205" t="s">
        <v>397</v>
      </c>
      <c r="B205" t="s">
        <v>398</v>
      </c>
      <c r="D205" t="s">
        <v>210</v>
      </c>
      <c r="F205">
        <v>121</v>
      </c>
    </row>
    <row r="206" spans="1:6" x14ac:dyDescent="0.3">
      <c r="A206" t="s">
        <v>399</v>
      </c>
      <c r="B206" t="s">
        <v>400</v>
      </c>
      <c r="D206" t="s">
        <v>401</v>
      </c>
    </row>
    <row r="207" spans="1:6" x14ac:dyDescent="0.3">
      <c r="A207" t="s">
        <v>402</v>
      </c>
      <c r="B207" t="s">
        <v>403</v>
      </c>
      <c r="D207" t="s">
        <v>197</v>
      </c>
      <c r="F207">
        <v>122</v>
      </c>
    </row>
    <row r="208" spans="1:6" x14ac:dyDescent="0.3">
      <c r="A208" t="s">
        <v>404</v>
      </c>
      <c r="B208" t="s">
        <v>405</v>
      </c>
      <c r="D208" t="s">
        <v>176</v>
      </c>
      <c r="F208">
        <v>123</v>
      </c>
    </row>
    <row r="209" spans="1:6" x14ac:dyDescent="0.3">
      <c r="A209" t="s">
        <v>406</v>
      </c>
      <c r="B209" t="s">
        <v>108</v>
      </c>
      <c r="D209" t="s">
        <v>176</v>
      </c>
      <c r="F209">
        <v>109</v>
      </c>
    </row>
    <row r="210" spans="1:6" x14ac:dyDescent="0.3">
      <c r="A210" t="s">
        <v>407</v>
      </c>
      <c r="B210" t="s">
        <v>110</v>
      </c>
      <c r="D210" t="s">
        <v>191</v>
      </c>
      <c r="F210">
        <v>110</v>
      </c>
    </row>
    <row r="211" spans="1:6" x14ac:dyDescent="0.3">
      <c r="A211" t="s">
        <v>408</v>
      </c>
      <c r="B211" t="s">
        <v>112</v>
      </c>
      <c r="D211" t="s">
        <v>197</v>
      </c>
      <c r="F211">
        <v>111</v>
      </c>
    </row>
    <row r="212" spans="1:6" x14ac:dyDescent="0.3">
      <c r="A212" t="s">
        <v>409</v>
      </c>
      <c r="B212" t="s">
        <v>207</v>
      </c>
      <c r="D212" t="s">
        <v>191</v>
      </c>
      <c r="F212">
        <v>112</v>
      </c>
    </row>
    <row r="213" spans="1:6" x14ac:dyDescent="0.3">
      <c r="A213" t="s">
        <v>410</v>
      </c>
      <c r="B213" t="s">
        <v>115</v>
      </c>
      <c r="D213" t="s">
        <v>176</v>
      </c>
      <c r="F213">
        <v>113</v>
      </c>
    </row>
    <row r="214" spans="1:6" x14ac:dyDescent="0.3">
      <c r="D214" t="s">
        <v>411</v>
      </c>
    </row>
    <row r="215" spans="1:6" x14ac:dyDescent="0.3">
      <c r="A215" t="s">
        <v>412</v>
      </c>
      <c r="B215" t="s">
        <v>117</v>
      </c>
      <c r="D215" t="s">
        <v>176</v>
      </c>
      <c r="F215">
        <v>114</v>
      </c>
    </row>
    <row r="216" spans="1:6" x14ac:dyDescent="0.3">
      <c r="A216" t="s">
        <v>413</v>
      </c>
      <c r="B216" t="s">
        <v>208</v>
      </c>
      <c r="D216" t="s">
        <v>176</v>
      </c>
      <c r="F216">
        <v>115</v>
      </c>
    </row>
    <row r="217" spans="1:6" x14ac:dyDescent="0.3">
      <c r="A217" t="s">
        <v>414</v>
      </c>
      <c r="B217" t="s">
        <v>120</v>
      </c>
      <c r="D217" t="s">
        <v>176</v>
      </c>
      <c r="F217">
        <v>125</v>
      </c>
    </row>
    <row r="218" spans="1:6" x14ac:dyDescent="0.3">
      <c r="A218" t="s">
        <v>415</v>
      </c>
      <c r="B218" t="s">
        <v>122</v>
      </c>
      <c r="D218" t="s">
        <v>191</v>
      </c>
      <c r="F218">
        <v>126</v>
      </c>
    </row>
    <row r="219" spans="1:6" x14ac:dyDescent="0.3">
      <c r="A219" t="s">
        <v>416</v>
      </c>
      <c r="B219" t="s">
        <v>8</v>
      </c>
      <c r="D219" t="s">
        <v>41</v>
      </c>
    </row>
    <row r="220" spans="1:6" x14ac:dyDescent="0.3">
      <c r="A220" t="s">
        <v>417</v>
      </c>
      <c r="B220" t="s">
        <v>9</v>
      </c>
      <c r="D220" t="s">
        <v>41</v>
      </c>
    </row>
    <row r="223" spans="1:6" ht="20.399999999999999" thickBot="1" x14ac:dyDescent="0.45">
      <c r="A223" s="1" t="s">
        <v>211</v>
      </c>
      <c r="B223" s="1" t="s">
        <v>212</v>
      </c>
    </row>
    <row r="224" spans="1:6" ht="15" thickTop="1" x14ac:dyDescent="0.3">
      <c r="A224" t="s">
        <v>10</v>
      </c>
      <c r="B224" t="s">
        <v>5</v>
      </c>
      <c r="D224" t="s">
        <v>213</v>
      </c>
    </row>
    <row r="225" spans="1:6" x14ac:dyDescent="0.3">
      <c r="A225" t="s">
        <v>11</v>
      </c>
      <c r="B225" t="s">
        <v>6</v>
      </c>
      <c r="D225" t="s">
        <v>175</v>
      </c>
      <c r="F225">
        <v>300</v>
      </c>
    </row>
    <row r="226" spans="1:6" x14ac:dyDescent="0.3">
      <c r="A226" t="s">
        <v>13</v>
      </c>
      <c r="B226" t="s">
        <v>7</v>
      </c>
      <c r="D226" t="s">
        <v>175</v>
      </c>
      <c r="F226">
        <v>301</v>
      </c>
    </row>
    <row r="227" spans="1:6" x14ac:dyDescent="0.3">
      <c r="A227" t="s">
        <v>15</v>
      </c>
      <c r="B227" t="s">
        <v>16</v>
      </c>
      <c r="D227" t="s">
        <v>41</v>
      </c>
    </row>
    <row r="228" spans="1:6" x14ac:dyDescent="0.3">
      <c r="A228" t="s">
        <v>18</v>
      </c>
      <c r="B228" t="s">
        <v>8</v>
      </c>
      <c r="D228" t="s">
        <v>41</v>
      </c>
    </row>
    <row r="229" spans="1:6" x14ac:dyDescent="0.3">
      <c r="A229" t="s">
        <v>19</v>
      </c>
      <c r="B229" t="s">
        <v>9</v>
      </c>
      <c r="D229" t="s">
        <v>41</v>
      </c>
    </row>
    <row r="232" spans="1:6" ht="20.399999999999999" thickBot="1" x14ac:dyDescent="0.45">
      <c r="A232" s="1" t="s">
        <v>214</v>
      </c>
      <c r="B232" s="1" t="s">
        <v>215</v>
      </c>
    </row>
    <row r="233" spans="1:6" ht="15" thickTop="1" x14ac:dyDescent="0.3">
      <c r="A233" t="s">
        <v>21</v>
      </c>
      <c r="B233" t="s">
        <v>22</v>
      </c>
      <c r="D233" t="s">
        <v>213</v>
      </c>
    </row>
    <row r="234" spans="1:6" x14ac:dyDescent="0.3">
      <c r="A234" t="s">
        <v>23</v>
      </c>
      <c r="B234" t="s">
        <v>216</v>
      </c>
      <c r="D234" t="s">
        <v>210</v>
      </c>
      <c r="E234">
        <v>302</v>
      </c>
    </row>
    <row r="235" spans="1:6" x14ac:dyDescent="0.3">
      <c r="A235" t="s">
        <v>24</v>
      </c>
      <c r="B235" t="s">
        <v>25</v>
      </c>
      <c r="D235" t="s">
        <v>418</v>
      </c>
    </row>
    <row r="236" spans="1:6" x14ac:dyDescent="0.3">
      <c r="A236" t="s">
        <v>26</v>
      </c>
      <c r="B236" t="s">
        <v>27</v>
      </c>
      <c r="D236" t="s">
        <v>418</v>
      </c>
    </row>
    <row r="237" spans="1:6" x14ac:dyDescent="0.3">
      <c r="A237" t="s">
        <v>28</v>
      </c>
      <c r="B237" t="s">
        <v>29</v>
      </c>
      <c r="D237" t="s">
        <v>218</v>
      </c>
    </row>
    <row r="238" spans="1:6" x14ac:dyDescent="0.3">
      <c r="A238" t="s">
        <v>30</v>
      </c>
      <c r="B238" t="s">
        <v>31</v>
      </c>
      <c r="D238" t="s">
        <v>218</v>
      </c>
    </row>
    <row r="239" spans="1:6" x14ac:dyDescent="0.3">
      <c r="A239" t="s">
        <v>32</v>
      </c>
      <c r="B239" t="s">
        <v>33</v>
      </c>
      <c r="D239" t="s">
        <v>199</v>
      </c>
    </row>
    <row r="240" spans="1:6" x14ac:dyDescent="0.3">
      <c r="A240" t="s">
        <v>34</v>
      </c>
      <c r="B240" t="s">
        <v>35</v>
      </c>
      <c r="D240" t="s">
        <v>176</v>
      </c>
      <c r="E240">
        <v>101</v>
      </c>
    </row>
    <row r="241" spans="1:5" x14ac:dyDescent="0.3">
      <c r="A241" t="s">
        <v>36</v>
      </c>
      <c r="B241" t="s">
        <v>37</v>
      </c>
      <c r="D241" t="s">
        <v>176</v>
      </c>
      <c r="E241">
        <v>102</v>
      </c>
    </row>
    <row r="242" spans="1:5" x14ac:dyDescent="0.3">
      <c r="A242" t="s">
        <v>38</v>
      </c>
      <c r="B242" t="s">
        <v>553</v>
      </c>
      <c r="D242" t="s">
        <v>210</v>
      </c>
      <c r="E242">
        <v>303</v>
      </c>
    </row>
    <row r="243" spans="1:5" x14ac:dyDescent="0.3">
      <c r="A243" t="s">
        <v>39</v>
      </c>
      <c r="B243" t="s">
        <v>40</v>
      </c>
      <c r="D243" t="s">
        <v>176</v>
      </c>
    </row>
    <row r="244" spans="1:5" x14ac:dyDescent="0.3">
      <c r="A244" t="s">
        <v>42</v>
      </c>
      <c r="B244" t="s">
        <v>560</v>
      </c>
      <c r="D244" t="s">
        <v>176</v>
      </c>
    </row>
    <row r="245" spans="1:5" x14ac:dyDescent="0.3">
      <c r="B245" t="s">
        <v>14</v>
      </c>
    </row>
    <row r="246" spans="1:5" x14ac:dyDescent="0.3">
      <c r="A246" t="s">
        <v>43</v>
      </c>
      <c r="B246" t="s">
        <v>9</v>
      </c>
      <c r="D246" t="s">
        <v>41</v>
      </c>
    </row>
    <row r="249" spans="1:5" ht="20.399999999999999" thickBot="1" x14ac:dyDescent="0.45">
      <c r="A249" s="1" t="s">
        <v>419</v>
      </c>
      <c r="B249" s="1" t="s">
        <v>420</v>
      </c>
    </row>
    <row r="250" spans="1:5" ht="15" thickTop="1" x14ac:dyDescent="0.3">
      <c r="A250" t="s">
        <v>421</v>
      </c>
      <c r="B250" t="s">
        <v>17</v>
      </c>
      <c r="D250" t="s">
        <v>41</v>
      </c>
    </row>
    <row r="251" spans="1:5" x14ac:dyDescent="0.3">
      <c r="A251" t="s">
        <v>422</v>
      </c>
      <c r="B251" t="s">
        <v>131</v>
      </c>
      <c r="D251" t="s">
        <v>223</v>
      </c>
    </row>
    <row r="252" spans="1:5" x14ac:dyDescent="0.3">
      <c r="A252" t="s">
        <v>423</v>
      </c>
      <c r="B252" t="s">
        <v>133</v>
      </c>
      <c r="D252" t="s">
        <v>195</v>
      </c>
    </row>
    <row r="253" spans="1:5" x14ac:dyDescent="0.3">
      <c r="A253" t="s">
        <v>424</v>
      </c>
      <c r="B253" t="s">
        <v>135</v>
      </c>
      <c r="D253" t="s">
        <v>176</v>
      </c>
      <c r="E253">
        <v>201</v>
      </c>
    </row>
    <row r="254" spans="1:5" x14ac:dyDescent="0.3">
      <c r="A254" t="s">
        <v>425</v>
      </c>
      <c r="B254" t="s">
        <v>137</v>
      </c>
      <c r="D254" t="s">
        <v>225</v>
      </c>
      <c r="E254">
        <v>202</v>
      </c>
    </row>
    <row r="255" spans="1:5" x14ac:dyDescent="0.3">
      <c r="A255" t="s">
        <v>426</v>
      </c>
      <c r="B255" t="s">
        <v>427</v>
      </c>
      <c r="D255" t="s">
        <v>41</v>
      </c>
    </row>
    <row r="256" spans="1:5" x14ac:dyDescent="0.3">
      <c r="A256" t="s">
        <v>428</v>
      </c>
      <c r="B256" t="s">
        <v>140</v>
      </c>
      <c r="D256" t="s">
        <v>191</v>
      </c>
      <c r="E256">
        <v>215</v>
      </c>
    </row>
    <row r="257" spans="1:5" x14ac:dyDescent="0.3">
      <c r="A257" t="s">
        <v>429</v>
      </c>
      <c r="B257" t="s">
        <v>142</v>
      </c>
      <c r="D257" t="s">
        <v>41</v>
      </c>
    </row>
    <row r="258" spans="1:5" x14ac:dyDescent="0.3">
      <c r="A258" t="s">
        <v>430</v>
      </c>
      <c r="B258" t="s">
        <v>431</v>
      </c>
      <c r="D258" t="s">
        <v>286</v>
      </c>
      <c r="E258">
        <v>210</v>
      </c>
    </row>
    <row r="259" spans="1:5" x14ac:dyDescent="0.3">
      <c r="A259" t="s">
        <v>432</v>
      </c>
      <c r="B259" t="s">
        <v>433</v>
      </c>
      <c r="D259" t="s">
        <v>286</v>
      </c>
      <c r="E259">
        <v>211</v>
      </c>
    </row>
    <row r="260" spans="1:5" x14ac:dyDescent="0.3">
      <c r="A260" t="s">
        <v>434</v>
      </c>
      <c r="B260" t="s">
        <v>147</v>
      </c>
      <c r="D260" t="s">
        <v>435</v>
      </c>
    </row>
    <row r="261" spans="1:5" x14ac:dyDescent="0.3">
      <c r="A261" t="s">
        <v>436</v>
      </c>
      <c r="B261" t="s">
        <v>149</v>
      </c>
      <c r="D261" t="s">
        <v>229</v>
      </c>
    </row>
    <row r="262" spans="1:5" x14ac:dyDescent="0.3">
      <c r="A262" t="s">
        <v>437</v>
      </c>
      <c r="B262" t="s">
        <v>151</v>
      </c>
      <c r="D262" t="s">
        <v>223</v>
      </c>
    </row>
    <row r="263" spans="1:5" x14ac:dyDescent="0.3">
      <c r="A263" t="s">
        <v>438</v>
      </c>
      <c r="B263" t="s">
        <v>153</v>
      </c>
      <c r="D263" t="s">
        <v>230</v>
      </c>
      <c r="E263">
        <v>204</v>
      </c>
    </row>
    <row r="264" spans="1:5" x14ac:dyDescent="0.3">
      <c r="A264" t="s">
        <v>439</v>
      </c>
      <c r="B264" t="s">
        <v>155</v>
      </c>
      <c r="D264" t="s">
        <v>176</v>
      </c>
      <c r="E264">
        <v>205</v>
      </c>
    </row>
    <row r="265" spans="1:5" x14ac:dyDescent="0.3">
      <c r="A265" t="s">
        <v>440</v>
      </c>
      <c r="B265" t="s">
        <v>157</v>
      </c>
      <c r="D265" t="s">
        <v>441</v>
      </c>
    </row>
    <row r="266" spans="1:5" x14ac:dyDescent="0.3">
      <c r="A266" t="s">
        <v>442</v>
      </c>
      <c r="B266" t="s">
        <v>159</v>
      </c>
      <c r="D266" t="s">
        <v>176</v>
      </c>
      <c r="E266">
        <v>206</v>
      </c>
    </row>
    <row r="267" spans="1:5" x14ac:dyDescent="0.3">
      <c r="A267" t="s">
        <v>443</v>
      </c>
      <c r="B267" t="s">
        <v>161</v>
      </c>
      <c r="D267" t="s">
        <v>444</v>
      </c>
    </row>
    <row r="268" spans="1:5" x14ac:dyDescent="0.3">
      <c r="A268" t="s">
        <v>445</v>
      </c>
      <c r="B268" t="s">
        <v>163</v>
      </c>
      <c r="D268" t="s">
        <v>41</v>
      </c>
    </row>
    <row r="269" spans="1:5" x14ac:dyDescent="0.3">
      <c r="A269" t="s">
        <v>446</v>
      </c>
      <c r="B269" t="s">
        <v>165</v>
      </c>
      <c r="D269" t="s">
        <v>41</v>
      </c>
    </row>
    <row r="270" spans="1:5" x14ac:dyDescent="0.3">
      <c r="A270" t="s">
        <v>447</v>
      </c>
      <c r="B270" t="s">
        <v>167</v>
      </c>
      <c r="D270" t="s">
        <v>41</v>
      </c>
    </row>
    <row r="271" spans="1:5" x14ac:dyDescent="0.3">
      <c r="A271" t="s">
        <v>448</v>
      </c>
      <c r="B271" t="s">
        <v>169</v>
      </c>
      <c r="D271" t="s">
        <v>197</v>
      </c>
      <c r="E271">
        <v>207</v>
      </c>
    </row>
    <row r="272" spans="1:5" x14ac:dyDescent="0.3">
      <c r="A272" t="s">
        <v>449</v>
      </c>
      <c r="B272" t="s">
        <v>234</v>
      </c>
      <c r="D272" t="s">
        <v>41</v>
      </c>
    </row>
    <row r="273" spans="1:6" x14ac:dyDescent="0.3">
      <c r="A273" t="s">
        <v>450</v>
      </c>
      <c r="B273" t="s">
        <v>451</v>
      </c>
      <c r="D273" t="s">
        <v>41</v>
      </c>
    </row>
    <row r="274" spans="1:6" x14ac:dyDescent="0.3">
      <c r="A274" t="s">
        <v>452</v>
      </c>
      <c r="B274" t="s">
        <v>238</v>
      </c>
      <c r="D274" t="s">
        <v>230</v>
      </c>
      <c r="F274">
        <v>208</v>
      </c>
    </row>
    <row r="275" spans="1:6" x14ac:dyDescent="0.3">
      <c r="A275" t="s">
        <v>453</v>
      </c>
      <c r="B275" t="s">
        <v>454</v>
      </c>
      <c r="D275" t="s">
        <v>41</v>
      </c>
    </row>
    <row r="276" spans="1:6" x14ac:dyDescent="0.3">
      <c r="A276" t="s">
        <v>455</v>
      </c>
      <c r="B276" t="s">
        <v>456</v>
      </c>
      <c r="D276" t="s">
        <v>205</v>
      </c>
    </row>
    <row r="277" spans="1:6" x14ac:dyDescent="0.3">
      <c r="A277" t="s">
        <v>457</v>
      </c>
      <c r="B277" t="s">
        <v>458</v>
      </c>
      <c r="D277" t="s">
        <v>205</v>
      </c>
    </row>
    <row r="278" spans="1:6" x14ac:dyDescent="0.3">
      <c r="A278" t="s">
        <v>459</v>
      </c>
      <c r="B278" t="s">
        <v>460</v>
      </c>
      <c r="D278" t="s">
        <v>176</v>
      </c>
      <c r="F278">
        <v>212</v>
      </c>
    </row>
    <row r="279" spans="1:6" x14ac:dyDescent="0.3">
      <c r="A279" t="s">
        <v>461</v>
      </c>
      <c r="B279" t="s">
        <v>462</v>
      </c>
      <c r="D279" t="s">
        <v>41</v>
      </c>
    </row>
    <row r="280" spans="1:6" x14ac:dyDescent="0.3">
      <c r="A280" t="s">
        <v>463</v>
      </c>
      <c r="B280" t="s">
        <v>240</v>
      </c>
      <c r="D280" t="s">
        <v>176</v>
      </c>
      <c r="F280">
        <v>209</v>
      </c>
    </row>
    <row r="281" spans="1:6" x14ac:dyDescent="0.3">
      <c r="A281" t="s">
        <v>464</v>
      </c>
      <c r="B281" t="s">
        <v>242</v>
      </c>
      <c r="D281" t="s">
        <v>229</v>
      </c>
    </row>
    <row r="282" spans="1:6" x14ac:dyDescent="0.3">
      <c r="A282" t="s">
        <v>465</v>
      </c>
      <c r="B282" t="s">
        <v>244</v>
      </c>
      <c r="D282" t="s">
        <v>41</v>
      </c>
    </row>
    <row r="283" spans="1:6" x14ac:dyDescent="0.3">
      <c r="A283" t="s">
        <v>466</v>
      </c>
      <c r="B283" t="s">
        <v>246</v>
      </c>
      <c r="D283" t="s">
        <v>229</v>
      </c>
    </row>
    <row r="284" spans="1:6" x14ac:dyDescent="0.3">
      <c r="A284" t="s">
        <v>467</v>
      </c>
      <c r="B284" t="s">
        <v>248</v>
      </c>
      <c r="D284" t="s">
        <v>41</v>
      </c>
    </row>
    <row r="285" spans="1:6" x14ac:dyDescent="0.3">
      <c r="A285" t="s">
        <v>468</v>
      </c>
      <c r="B285" t="s">
        <v>250</v>
      </c>
      <c r="D285" t="s">
        <v>325</v>
      </c>
    </row>
    <row r="286" spans="1:6" x14ac:dyDescent="0.3">
      <c r="A286" t="s">
        <v>469</v>
      </c>
      <c r="B286" t="s">
        <v>470</v>
      </c>
      <c r="D286" t="s">
        <v>325</v>
      </c>
    </row>
    <row r="287" spans="1:6" x14ac:dyDescent="0.3">
      <c r="A287" t="s">
        <v>471</v>
      </c>
      <c r="B287" t="s">
        <v>472</v>
      </c>
      <c r="D287" t="s">
        <v>325</v>
      </c>
    </row>
    <row r="288" spans="1:6" x14ac:dyDescent="0.3">
      <c r="B288" t="s">
        <v>473</v>
      </c>
    </row>
    <row r="289" spans="1:4" x14ac:dyDescent="0.3">
      <c r="A289" t="s">
        <v>474</v>
      </c>
      <c r="B289" t="s">
        <v>259</v>
      </c>
      <c r="D289" t="s">
        <v>401</v>
      </c>
    </row>
    <row r="290" spans="1:4" x14ac:dyDescent="0.3">
      <c r="A290" t="s">
        <v>475</v>
      </c>
      <c r="B290" t="s">
        <v>261</v>
      </c>
      <c r="D290" t="s">
        <v>401</v>
      </c>
    </row>
    <row r="291" spans="1:4" x14ac:dyDescent="0.3">
      <c r="A291" t="s">
        <v>476</v>
      </c>
      <c r="B291" t="s">
        <v>263</v>
      </c>
      <c r="D291" t="s">
        <v>401</v>
      </c>
    </row>
    <row r="292" spans="1:4" x14ac:dyDescent="0.3">
      <c r="A292" t="s">
        <v>477</v>
      </c>
      <c r="B292" t="s">
        <v>265</v>
      </c>
      <c r="D292" t="s">
        <v>195</v>
      </c>
    </row>
    <row r="293" spans="1:4" x14ac:dyDescent="0.3">
      <c r="A293" t="s">
        <v>478</v>
      </c>
      <c r="B293" t="s">
        <v>267</v>
      </c>
      <c r="D293" t="s">
        <v>195</v>
      </c>
    </row>
    <row r="294" spans="1:4" x14ac:dyDescent="0.3">
      <c r="A294" t="s">
        <v>479</v>
      </c>
      <c r="B294" t="s">
        <v>269</v>
      </c>
      <c r="D294" t="s">
        <v>195</v>
      </c>
    </row>
    <row r="295" spans="1:4" x14ac:dyDescent="0.3">
      <c r="A295" t="s">
        <v>480</v>
      </c>
      <c r="B295" t="s">
        <v>271</v>
      </c>
      <c r="D295" t="s">
        <v>481</v>
      </c>
    </row>
    <row r="296" spans="1:4" x14ac:dyDescent="0.3">
      <c r="A296" t="s">
        <v>482</v>
      </c>
      <c r="B296" t="s">
        <v>274</v>
      </c>
      <c r="D296" t="s">
        <v>325</v>
      </c>
    </row>
    <row r="297" spans="1:4" x14ac:dyDescent="0.3">
      <c r="A297" t="s">
        <v>483</v>
      </c>
      <c r="B297" t="s">
        <v>555</v>
      </c>
      <c r="D297" t="s">
        <v>484</v>
      </c>
    </row>
    <row r="298" spans="1:4" x14ac:dyDescent="0.3">
      <c r="A298" t="s">
        <v>485</v>
      </c>
      <c r="B298" t="s">
        <v>8</v>
      </c>
      <c r="D298" t="s">
        <v>41</v>
      </c>
    </row>
    <row r="299" spans="1:4" x14ac:dyDescent="0.3">
      <c r="A299" t="s">
        <v>486</v>
      </c>
      <c r="B299" t="s">
        <v>9</v>
      </c>
      <c r="D299" t="s">
        <v>41</v>
      </c>
    </row>
    <row r="302" spans="1:4" ht="20.399999999999999" thickBot="1" x14ac:dyDescent="0.45">
      <c r="A302" s="1" t="s">
        <v>487</v>
      </c>
      <c r="B302" s="1" t="s">
        <v>488</v>
      </c>
      <c r="D302" t="s">
        <v>489</v>
      </c>
    </row>
    <row r="303" spans="1:4" ht="15" thickTop="1" x14ac:dyDescent="0.3">
      <c r="A303" t="s">
        <v>490</v>
      </c>
      <c r="B303" t="s">
        <v>100</v>
      </c>
      <c r="D303" t="s">
        <v>491</v>
      </c>
    </row>
    <row r="304" spans="1:4" x14ac:dyDescent="0.3">
      <c r="A304" t="s">
        <v>492</v>
      </c>
      <c r="B304" t="s">
        <v>285</v>
      </c>
      <c r="D304" t="s">
        <v>286</v>
      </c>
    </row>
    <row r="305" spans="1:5" x14ac:dyDescent="0.3">
      <c r="A305" t="s">
        <v>493</v>
      </c>
      <c r="B305" t="s">
        <v>288</v>
      </c>
      <c r="D305" t="s">
        <v>196</v>
      </c>
    </row>
    <row r="306" spans="1:5" x14ac:dyDescent="0.3">
      <c r="A306" t="s">
        <v>494</v>
      </c>
      <c r="B306" t="s">
        <v>290</v>
      </c>
      <c r="D306" t="s">
        <v>191</v>
      </c>
    </row>
    <row r="307" spans="1:5" x14ac:dyDescent="0.3">
      <c r="A307" t="s">
        <v>495</v>
      </c>
      <c r="B307" t="s">
        <v>292</v>
      </c>
      <c r="D307" t="s">
        <v>496</v>
      </c>
    </row>
    <row r="308" spans="1:5" x14ac:dyDescent="0.3">
      <c r="A308" t="s">
        <v>497</v>
      </c>
      <c r="B308" t="s">
        <v>296</v>
      </c>
      <c r="D308" t="s">
        <v>496</v>
      </c>
    </row>
    <row r="309" spans="1:5" x14ac:dyDescent="0.3">
      <c r="A309" t="s">
        <v>498</v>
      </c>
      <c r="B309" t="s">
        <v>298</v>
      </c>
      <c r="D309" t="s">
        <v>230</v>
      </c>
    </row>
    <row r="310" spans="1:5" x14ac:dyDescent="0.3">
      <c r="A310" t="s">
        <v>499</v>
      </c>
      <c r="B310" t="s">
        <v>500</v>
      </c>
      <c r="D310" t="s">
        <v>191</v>
      </c>
    </row>
    <row r="311" spans="1:5" x14ac:dyDescent="0.3">
      <c r="A311" t="s">
        <v>501</v>
      </c>
      <c r="B311" t="s">
        <v>502</v>
      </c>
      <c r="D311" t="s">
        <v>191</v>
      </c>
    </row>
    <row r="312" spans="1:5" x14ac:dyDescent="0.3">
      <c r="A312" t="s">
        <v>503</v>
      </c>
      <c r="B312" t="s">
        <v>556</v>
      </c>
      <c r="D312" t="s">
        <v>41</v>
      </c>
    </row>
    <row r="313" spans="1:5" x14ac:dyDescent="0.3">
      <c r="A313" t="s">
        <v>504</v>
      </c>
      <c r="B313" t="s">
        <v>305</v>
      </c>
      <c r="D313" t="s">
        <v>41</v>
      </c>
    </row>
    <row r="314" spans="1:5" x14ac:dyDescent="0.3">
      <c r="A314" t="s">
        <v>505</v>
      </c>
      <c r="B314" t="s">
        <v>506</v>
      </c>
      <c r="D314" t="s">
        <v>41</v>
      </c>
    </row>
    <row r="315" spans="1:5" x14ac:dyDescent="0.3">
      <c r="A315" t="s">
        <v>507</v>
      </c>
      <c r="B315" t="s">
        <v>309</v>
      </c>
      <c r="D315" t="s">
        <v>176</v>
      </c>
    </row>
    <row r="316" spans="1:5" x14ac:dyDescent="0.3">
      <c r="A316" t="s">
        <v>508</v>
      </c>
      <c r="B316" t="s">
        <v>509</v>
      </c>
      <c r="D316" t="s">
        <v>210</v>
      </c>
    </row>
    <row r="317" spans="1:5" x14ac:dyDescent="0.3">
      <c r="A317" t="s">
        <v>510</v>
      </c>
      <c r="B317" t="s">
        <v>511</v>
      </c>
      <c r="D317" t="s">
        <v>176</v>
      </c>
      <c r="E317">
        <v>214</v>
      </c>
    </row>
    <row r="318" spans="1:5" x14ac:dyDescent="0.3">
      <c r="A318" t="s">
        <v>512</v>
      </c>
      <c r="B318" t="s">
        <v>315</v>
      </c>
      <c r="D318" t="s">
        <v>191</v>
      </c>
    </row>
    <row r="319" spans="1:5" x14ac:dyDescent="0.3">
      <c r="A319" t="s">
        <v>513</v>
      </c>
      <c r="B319" t="s">
        <v>240</v>
      </c>
      <c r="D319" t="s">
        <v>176</v>
      </c>
      <c r="E319">
        <v>209</v>
      </c>
    </row>
    <row r="320" spans="1:5" x14ac:dyDescent="0.3">
      <c r="A320" t="s">
        <v>514</v>
      </c>
      <c r="B320" t="s">
        <v>242</v>
      </c>
      <c r="D320" t="s">
        <v>229</v>
      </c>
    </row>
    <row r="321" spans="1:5" x14ac:dyDescent="0.3">
      <c r="A321" t="s">
        <v>515</v>
      </c>
      <c r="B321" t="s">
        <v>244</v>
      </c>
      <c r="D321" t="s">
        <v>41</v>
      </c>
    </row>
    <row r="322" spans="1:5" x14ac:dyDescent="0.3">
      <c r="A322" t="s">
        <v>516</v>
      </c>
      <c r="B322" t="s">
        <v>320</v>
      </c>
      <c r="D322" t="s">
        <v>229</v>
      </c>
    </row>
    <row r="323" spans="1:5" x14ac:dyDescent="0.3">
      <c r="A323" t="s">
        <v>517</v>
      </c>
      <c r="B323" t="s">
        <v>322</v>
      </c>
      <c r="D323" t="s">
        <v>41</v>
      </c>
    </row>
    <row r="324" spans="1:5" x14ac:dyDescent="0.3">
      <c r="A324" t="s">
        <v>518</v>
      </c>
      <c r="B324" t="s">
        <v>324</v>
      </c>
      <c r="D324" t="s">
        <v>325</v>
      </c>
    </row>
    <row r="325" spans="1:5" x14ac:dyDescent="0.3">
      <c r="A325" t="s">
        <v>519</v>
      </c>
      <c r="B325" t="s">
        <v>327</v>
      </c>
      <c r="D325" t="s">
        <v>325</v>
      </c>
    </row>
    <row r="326" spans="1:5" x14ac:dyDescent="0.3">
      <c r="A326" t="s">
        <v>520</v>
      </c>
      <c r="B326" t="s">
        <v>329</v>
      </c>
      <c r="D326" t="s">
        <v>325</v>
      </c>
    </row>
    <row r="327" spans="1:5" x14ac:dyDescent="0.3">
      <c r="A327" t="s">
        <v>521</v>
      </c>
      <c r="B327" t="s">
        <v>551</v>
      </c>
      <c r="D327" t="s">
        <v>41</v>
      </c>
    </row>
    <row r="328" spans="1:5" x14ac:dyDescent="0.3">
      <c r="A328" t="s">
        <v>522</v>
      </c>
      <c r="B328" t="s">
        <v>8</v>
      </c>
      <c r="D328" t="s">
        <v>41</v>
      </c>
    </row>
    <row r="329" spans="1:5" x14ac:dyDescent="0.3">
      <c r="A329" t="s">
        <v>523</v>
      </c>
      <c r="B329" t="s">
        <v>9</v>
      </c>
      <c r="D329" t="s">
        <v>41</v>
      </c>
    </row>
    <row r="332" spans="1:5" ht="20.399999999999999" thickBot="1" x14ac:dyDescent="0.45">
      <c r="A332" s="3" t="s">
        <v>524</v>
      </c>
      <c r="B332" s="3" t="s">
        <v>525</v>
      </c>
    </row>
    <row r="333" spans="1:5" ht="15" thickTop="1" x14ac:dyDescent="0.3">
      <c r="A333" t="s">
        <v>526</v>
      </c>
      <c r="B333" t="s">
        <v>527</v>
      </c>
      <c r="D333" t="s">
        <v>210</v>
      </c>
      <c r="E333">
        <v>124</v>
      </c>
    </row>
    <row r="334" spans="1:5" x14ac:dyDescent="0.3">
      <c r="A334" t="s">
        <v>528</v>
      </c>
      <c r="B334" t="s">
        <v>84</v>
      </c>
      <c r="D334" t="s">
        <v>197</v>
      </c>
      <c r="E334">
        <v>105</v>
      </c>
    </row>
    <row r="335" spans="1:5" x14ac:dyDescent="0.3">
      <c r="A335" t="s">
        <v>529</v>
      </c>
      <c r="B335" t="s">
        <v>530</v>
      </c>
      <c r="D335" t="s">
        <v>401</v>
      </c>
    </row>
    <row r="336" spans="1:5" x14ac:dyDescent="0.3">
      <c r="A336" t="s">
        <v>531</v>
      </c>
      <c r="B336" t="s">
        <v>33</v>
      </c>
      <c r="D336" t="s">
        <v>491</v>
      </c>
    </row>
    <row r="337" spans="1:5" x14ac:dyDescent="0.3">
      <c r="A337" t="s">
        <v>532</v>
      </c>
      <c r="B337" t="s">
        <v>533</v>
      </c>
      <c r="D337" t="s">
        <v>491</v>
      </c>
    </row>
    <row r="338" spans="1:5" x14ac:dyDescent="0.3">
      <c r="A338" t="s">
        <v>534</v>
      </c>
      <c r="B338" t="s">
        <v>561</v>
      </c>
      <c r="D338" t="s">
        <v>491</v>
      </c>
    </row>
    <row r="339" spans="1:5" x14ac:dyDescent="0.3">
      <c r="A339" t="s">
        <v>535</v>
      </c>
      <c r="B339" t="s">
        <v>536</v>
      </c>
      <c r="D339" t="s">
        <v>176</v>
      </c>
      <c r="E339">
        <v>118</v>
      </c>
    </row>
    <row r="340" spans="1:5" x14ac:dyDescent="0.3">
      <c r="A340" t="s">
        <v>537</v>
      </c>
      <c r="B340" t="s">
        <v>8</v>
      </c>
      <c r="D340" t="s">
        <v>41</v>
      </c>
    </row>
    <row r="341" spans="1:5" x14ac:dyDescent="0.3">
      <c r="A341" t="s">
        <v>538</v>
      </c>
      <c r="B341" t="s">
        <v>9</v>
      </c>
      <c r="D341" t="s">
        <v>41</v>
      </c>
    </row>
    <row r="344" spans="1:5" ht="20.399999999999999" thickBot="1" x14ac:dyDescent="0.45">
      <c r="A344" s="1" t="s">
        <v>539</v>
      </c>
      <c r="B344" s="1" t="s">
        <v>540</v>
      </c>
    </row>
    <row r="345" spans="1:5" ht="15" thickTop="1" x14ac:dyDescent="0.3">
      <c r="A345" t="s">
        <v>541</v>
      </c>
      <c r="B345" t="s">
        <v>542</v>
      </c>
      <c r="D345" t="s">
        <v>210</v>
      </c>
    </row>
    <row r="346" spans="1:5" x14ac:dyDescent="0.3">
      <c r="A346" t="s">
        <v>543</v>
      </c>
      <c r="B346" t="s">
        <v>552</v>
      </c>
      <c r="D346" t="s">
        <v>181</v>
      </c>
    </row>
    <row r="347" spans="1:5" x14ac:dyDescent="0.3">
      <c r="A347" t="s">
        <v>544</v>
      </c>
      <c r="B347" t="s">
        <v>545</v>
      </c>
      <c r="D347" t="s">
        <v>546</v>
      </c>
    </row>
    <row r="348" spans="1:5" x14ac:dyDescent="0.3">
      <c r="A348" t="s">
        <v>547</v>
      </c>
      <c r="B348" t="s">
        <v>307</v>
      </c>
      <c r="D348" t="s">
        <v>41</v>
      </c>
    </row>
    <row r="349" spans="1:5" x14ac:dyDescent="0.3">
      <c r="A349" t="s">
        <v>548</v>
      </c>
      <c r="B349" t="s">
        <v>9</v>
      </c>
      <c r="D349"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Template Scoring Matrix</vt:lpstr>
      <vt:lpstr>M150-Onto</vt:lpstr>
      <vt:lpstr>DWA-M 150 Reference Tables</vt:lpstr>
      <vt:lpstr>Type Z Raw Data</vt:lpstr>
      <vt:lpstr>'Type Z Raw Data'!TypZ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J</dc:creator>
  <cp:lastModifiedBy>Luis Jamora</cp:lastModifiedBy>
  <cp:lastPrinted>2025-03-17T08:19:07Z</cp:lastPrinted>
  <dcterms:created xsi:type="dcterms:W3CDTF">2025-02-28T14:46:57Z</dcterms:created>
  <dcterms:modified xsi:type="dcterms:W3CDTF">2026-06-24T09:28:01Z</dcterms:modified>
</cp:coreProperties>
</file>